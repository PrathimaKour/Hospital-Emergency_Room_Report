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e39137b4a8901632/Desktop/Projects/Hospital Emergency Room Dashboard/"/>
    </mc:Choice>
  </mc:AlternateContent>
  <xr:revisionPtr revIDLastSave="15" documentId="8_{CEFB9F5F-66A0-410C-BA6F-1729AA5DEB07}" xr6:coauthVersionLast="47" xr6:coauthVersionMax="47" xr10:uidLastSave="{E033DFC8-42BD-4F45-AA62-D4E3ED7E7EE1}"/>
  <bookViews>
    <workbookView xWindow="-108" yWindow="-108" windowWidth="23256" windowHeight="12456" firstSheet="1" activeTab="1" xr2:uid="{EA832085-72EE-471B-891C-492E9E623F95}"/>
  </bookViews>
  <sheets>
    <sheet name="Pivot report" sheetId="1" r:id="rId1"/>
    <sheet name="DASHBOARD" sheetId="2" r:id="rId2"/>
    <sheet name="Daily ER No of Patient" sheetId="3" r:id="rId3"/>
    <sheet name="Average Wait Time Daily Trend" sheetId="4" r:id="rId4"/>
    <sheet name="Satisfaction Score Daily Trend" sheetId="5"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s>
  <extLst>
    <ext xmlns:x14="http://schemas.microsoft.com/office/spreadsheetml/2009/9/main" uri="{876F7934-8845-4945-9796-88D515C7AA90}">
      <x14:pivotCaches>
        <pivotCache cacheId="11" r:id="rId17"/>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e30e6cdd-8f66-4baf-807d-86d608248b2b" name="Hospital Emergency Room Data" connection="Query - Hospital Emergency Room Data"/>
          <x15:modelTable id="Calender_Table_a2f5a858-b6c1-467c-b77b-75ecf7e230ac"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0"/>
                <x16:calculatedTimeColumn columnName="Date (Month)" columnId="Date (Month)" contentType="months" isSelected="0"/>
                <x16:calculatedTimeColumn columnName="Date (Day Index)" columnId="Date (Day Index)" contentType="daysindex" isSelected="1"/>
                <x16:calculatedTimeColumn columnName="Date (Day)" columnId="Date (Day)" contentType="days" isSelected="1"/>
              </x16:modelTimeGrouping>
            </x16:modelTimeGroupings>
          </ext>
        </x15:extLst>
      </x15:dataModel>
    </ext>
  </extLst>
</workbook>
</file>

<file path=xl/calcChain.xml><?xml version="1.0" encoding="utf-8"?>
<calcChain xmlns="http://schemas.openxmlformats.org/spreadsheetml/2006/main">
  <c r="S13" i="1" l="1"/>
  <c r="T13" i="1"/>
  <c r="S12" i="1"/>
  <c r="T12" i="1"/>
  <c r="R13" i="1"/>
  <c r="R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5F7E83-2545-45E5-8274-B1F69F00E783}" name="Query - Calender_Table" description="Connection to the 'Calender_Table' query in the workbook." type="100" refreshedVersion="8" minRefreshableVersion="5">
    <extLst>
      <ext xmlns:x15="http://schemas.microsoft.com/office/spreadsheetml/2010/11/main" uri="{DE250136-89BD-433C-8126-D09CA5730AF9}">
        <x15:connection id="448199d6-dfb6-425c-99cb-27eecbf2a090"/>
      </ext>
    </extLst>
  </connection>
  <connection id="2" xr16:uid="{120385CD-DB16-4E34-82DD-1F4FA38D928C}"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f966aa18-9a32-4776-821a-4ee43644dcb0"/>
      </ext>
    </extLst>
  </connection>
  <connection id="3" xr16:uid="{FC0D8D76-3B5E-461A-A721-377FE28E749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<sst xmlns="http://schemas.openxmlformats.org/spreadsheetml/2006/main" count="154" uniqueCount="73">
  <si>
    <t>Distinct Count of Patient Id</t>
  </si>
  <si>
    <t>No of Patient</t>
  </si>
  <si>
    <t>Average of Patient Waittime</t>
  </si>
  <si>
    <t>Average of Patient Satisfaction Score</t>
  </si>
  <si>
    <t>Row Labels</t>
  </si>
  <si>
    <t>Grand Total</t>
  </si>
  <si>
    <t>Daily trends of no of patient</t>
  </si>
  <si>
    <t>Average wait time</t>
  </si>
  <si>
    <t>Satisfaction score daily trend</t>
  </si>
  <si>
    <t>Count of Patient Admission Flag</t>
  </si>
  <si>
    <t>Admitted</t>
  </si>
  <si>
    <t>Not Admitted</t>
  </si>
  <si>
    <t>Count of Patient Admission Flag2</t>
  </si>
  <si>
    <t>Admission Status</t>
  </si>
  <si>
    <t>Patient</t>
  </si>
  <si>
    <t>% of Total</t>
  </si>
  <si>
    <t>Status in %</t>
  </si>
  <si>
    <t>0-9</t>
  </si>
  <si>
    <t>10-19</t>
  </si>
  <si>
    <t>20-29</t>
  </si>
  <si>
    <t>30-39</t>
  </si>
  <si>
    <t>40-49</t>
  </si>
  <si>
    <t>50-59</t>
  </si>
  <si>
    <t>60-69</t>
  </si>
  <si>
    <t>70-79</t>
  </si>
  <si>
    <t>Count of Age Group</t>
  </si>
  <si>
    <t>Delay</t>
  </si>
  <si>
    <t>On-Time</t>
  </si>
  <si>
    <t>Count of Patient Id</t>
  </si>
  <si>
    <t>Patients Attended within Time</t>
  </si>
  <si>
    <t>Female</t>
  </si>
  <si>
    <t>Male</t>
  </si>
  <si>
    <t>No. of Patients by Gender</t>
  </si>
  <si>
    <t>No.of Patients by Department Referral</t>
  </si>
  <si>
    <t>Cardiology</t>
  </si>
  <si>
    <t>Gastroenterology</t>
  </si>
  <si>
    <t>General Practice</t>
  </si>
  <si>
    <t>Neurology</t>
  </si>
  <si>
    <t>None</t>
  </si>
  <si>
    <t>Orthopedics</t>
  </si>
  <si>
    <t>Physiotherapy</t>
  </si>
  <si>
    <t>Renal</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</si>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</sst>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1"/>
      <color theme="1"/>
      <name val="Calibri"/>
      <family val="2"/>
      <scheme val="minor"/>
    </font>
    <font>
      <sz val="10"/>
      <color theme="1"/>
      <name val="Calibri"/>
      <family val="2"/>
      <scheme val="minor"/>
    </font>
    <font>
      <sz val="8.5"/>
      <color rgb="FF000000"/>
      <name val="Calibri"/>
      <family val="2"/>
      <scheme val="minor"/>
    </font>
    <font>
      <sz val="8.5"/>
      <color rgb="FF595959"/>
      <name val="Calibri"/>
      <family val="2"/>
      <scheme val="minor"/>
    </font>
  </fonts>
  <fills count="4">
    <fill>
      <patternFill patternType="none"/>
    </fill>
    <fill>
      <patternFill patternType="gray125"/>
    </fill>
    <fill>
      <patternFill patternType="solid">
        <fgColor rgb="FFCCCCFF"/>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6">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1" fillId="3" borderId="0" xfId="0" applyFont="1" applyFill="1"/>
    <xf numFmtId="0" fontId="2" fillId="3" borderId="0" xfId="0" applyFont="1" applyFill="1" applyAlignment="1">
      <alignment horizontal="center"/>
    </xf>
    <xf numFmtId="0" fontId="0" fillId="3" borderId="0" xfId="0" applyFill="1"/>
    <xf numFmtId="0" fontId="0" fillId="3" borderId="0" xfId="0" applyFill="1" applyAlignment="1">
      <alignment horizontal="center"/>
    </xf>
    <xf numFmtId="10" fontId="0" fillId="3" borderId="0" xfId="0" applyNumberFormat="1" applyFill="1" applyAlignment="1">
      <alignment horizontal="center"/>
    </xf>
    <xf numFmtId="0" fontId="1" fillId="3" borderId="0" xfId="0" applyFont="1" applyFill="1" applyAlignment="1">
      <alignment horizontal="center"/>
    </xf>
    <xf numFmtId="1" fontId="1" fillId="3" borderId="0" xfId="0" applyNumberFormat="1" applyFont="1" applyFill="1" applyAlignment="1">
      <alignment horizontal="center"/>
    </xf>
    <xf numFmtId="0" fontId="3" fillId="0" borderId="0" xfId="0" applyFont="1" applyAlignment="1">
      <alignment horizontal="left" vertical="center"/>
    </xf>
    <xf numFmtId="0" fontId="4" fillId="0" borderId="0" xfId="0" applyFont="1" applyAlignment="1">
      <alignment horizontal="center" vertical="center" readingOrder="1"/>
    </xf>
  </cellXfs>
  <cellStyles count="1">
    <cellStyle name="Normal" xfId="0" builtinId="0"/>
  </cellStyles>
  <dxfs count="20">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1" formatCode="0"/>
    </dxf>
    <dxf>
      <font>
        <b/>
        <color theme="1"/>
      </font>
      <border>
        <bottom style="thin">
          <color theme="4"/>
        </bottom>
        <vertical/>
        <horizontal/>
      </border>
    </dxf>
    <dxf>
      <font>
        <sz val="9"/>
        <color theme="1"/>
        <name val="Aptos Narrow"/>
        <family val="2"/>
        <scheme val="none"/>
      </font>
      <fill>
        <patternFill patternType="none">
          <fgColor indexed="64"/>
          <bgColor auto="1"/>
        </patternFill>
      </fill>
      <border diagonalUp="0" diagonalDown="0">
        <left/>
        <right/>
        <top/>
        <bottom/>
        <vertical/>
        <horizontal/>
      </border>
    </dxf>
    <dxf>
      <font>
        <sz val="8"/>
        <name val="Aptos Narrow"/>
        <family val="2"/>
        <scheme val="none"/>
      </font>
      <border diagonalUp="0" diagonalDown="0">
        <left/>
        <right/>
        <top/>
        <bottom/>
        <vertical/>
        <horizontal/>
      </border>
    </dxf>
  </dxfs>
  <tableStyles count="2" defaultTableStyle="TableStyleMedium2" defaultPivotStyle="PivotStyleLight16">
    <tableStyle name="My style" pivot="0" table="0" count="1" xr9:uid="{B86CE3E3-CA4B-40C4-BC32-DFEAA28780E5}">
      <tableStyleElement type="wholeTable" dxfId="19"/>
    </tableStyle>
    <tableStyle name="My StyleLight1 2" pivot="0" table="0" count="10" xr9:uid="{5846CE50-1629-4F53-BCCE-4EE1038EC0FE}">
      <tableStyleElement type="wholeTable" dxfId="18"/>
      <tableStyleElement type="headerRow" dxfId="17"/>
    </tableStyle>
  </tableStyles>
  <colors>
    <mruColors>
      <color rgb="FFCCCCFF"/>
      <color rgb="FFFFCCFF"/>
      <color rgb="FFE97FD7"/>
      <color rgb="FFB11F99"/>
      <color rgb="FFFF99FF"/>
      <color rgb="FFFF66C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 name="My 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Room Dashboard by DHAWLE.xlsx]Pivot report!PivotTable7</c:name>
    <c:fmtId val="26"/>
  </c:pivotSource>
  <c:chart>
    <c:autoTitleDeleted val="0"/>
    <c:pivotFmts>
      <c:pivotFmt>
        <c:idx val="0"/>
        <c:spPr>
          <a:solidFill>
            <a:srgbClr val="FFC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CFF"/>
          </a:solidFill>
          <a:ln>
            <a:noFill/>
          </a:ln>
          <a:effectLst/>
        </c:spPr>
      </c:pivotFmt>
      <c:pivotFmt>
        <c:idx val="3"/>
        <c:spPr>
          <a:solidFill>
            <a:srgbClr val="FFCCFF"/>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s>
    <c:plotArea>
      <c:layout>
        <c:manualLayout>
          <c:layoutTarget val="inner"/>
          <c:xMode val="edge"/>
          <c:yMode val="edge"/>
          <c:x val="9.1701425786568147E-2"/>
          <c:y val="5.2212643678160916E-3"/>
          <c:w val="0.80080072482102371"/>
          <c:h val="0.99477829631556769"/>
        </c:manualLayout>
      </c:layout>
      <c:barChart>
        <c:barDir val="bar"/>
        <c:grouping val="clustered"/>
        <c:varyColors val="0"/>
        <c:ser>
          <c:idx val="0"/>
          <c:order val="0"/>
          <c:tx>
            <c:strRef>
              <c:f>'Pivot report'!$T$4</c:f>
              <c:strCache>
                <c:ptCount val="1"/>
                <c:pt idx="0">
                  <c:v>Count of Patient Admission Flag</c:v>
                </c:pt>
              </c:strCache>
            </c:strRef>
          </c:tx>
          <c:spPr>
            <a:solidFill>
              <a:srgbClr val="FFCC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report'!$S$5:$S$7</c:f>
              <c:strCache>
                <c:ptCount val="2"/>
                <c:pt idx="0">
                  <c:v>Admitted</c:v>
                </c:pt>
                <c:pt idx="1">
                  <c:v>Not Admitted</c:v>
                </c:pt>
              </c:strCache>
            </c:strRef>
          </c:cat>
          <c:val>
            <c:numRef>
              <c:f>'Pivot report'!$T$5:$T$7</c:f>
              <c:numCache>
                <c:formatCode>0</c:formatCode>
                <c:ptCount val="2"/>
                <c:pt idx="0">
                  <c:v>502</c:v>
                </c:pt>
                <c:pt idx="1">
                  <c:v>450</c:v>
                </c:pt>
              </c:numCache>
            </c:numRef>
          </c:val>
          <c:extLst>
            <c:ext xmlns:c16="http://schemas.microsoft.com/office/drawing/2014/chart" uri="{C3380CC4-5D6E-409C-BE32-E72D297353CC}">
              <c16:uniqueId val="{00000010-B098-4DF4-92AC-203FBAEA07DF}"/>
            </c:ext>
          </c:extLst>
        </c:ser>
        <c:ser>
          <c:idx val="1"/>
          <c:order val="1"/>
          <c:tx>
            <c:strRef>
              <c:f>'Pivot report'!$U$4</c:f>
              <c:strCache>
                <c:ptCount val="1"/>
                <c:pt idx="0">
                  <c:v>Count of Patient Admission Flag2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report'!$S$5:$S$7</c:f>
              <c:strCache>
                <c:ptCount val="2"/>
                <c:pt idx="0">
                  <c:v>Admitted</c:v>
                </c:pt>
                <c:pt idx="1">
                  <c:v>Not Admitted</c:v>
                </c:pt>
              </c:strCache>
            </c:strRef>
          </c:cat>
          <c:val>
            <c:numRef>
              <c:f>'Pivot report'!$U$5:$U$7</c:f>
              <c:numCache>
                <c:formatCode>0.00%</c:formatCode>
                <c:ptCount val="2"/>
                <c:pt idx="0">
                  <c:v>0.52731092436974791</c:v>
                </c:pt>
                <c:pt idx="1">
                  <c:v>0.47268907563025209</c:v>
                </c:pt>
              </c:numCache>
            </c:numRef>
          </c:val>
          <c:extLst>
            <c:ext xmlns:c16="http://schemas.microsoft.com/office/drawing/2014/chart" uri="{C3380CC4-5D6E-409C-BE32-E72D297353CC}">
              <c16:uniqueId val="{00000011-B098-4DF4-92AC-203FBAEA07DF}"/>
            </c:ext>
          </c:extLst>
        </c:ser>
        <c:dLbls>
          <c:dLblPos val="outEnd"/>
          <c:showLegendKey val="0"/>
          <c:showVal val="1"/>
          <c:showCatName val="0"/>
          <c:showSerName val="0"/>
          <c:showPercent val="0"/>
          <c:showBubbleSize val="0"/>
        </c:dLbls>
        <c:gapWidth val="0"/>
        <c:axId val="1495627360"/>
        <c:axId val="636385936"/>
      </c:barChart>
      <c:catAx>
        <c:axId val="1495627360"/>
        <c:scaling>
          <c:orientation val="minMax"/>
        </c:scaling>
        <c:delete val="1"/>
        <c:axPos val="l"/>
        <c:numFmt formatCode="General" sourceLinked="1"/>
        <c:majorTickMark val="none"/>
        <c:minorTickMark val="none"/>
        <c:tickLblPos val="nextTo"/>
        <c:crossAx val="636385936"/>
        <c:crosses val="autoZero"/>
        <c:auto val="1"/>
        <c:lblAlgn val="ctr"/>
        <c:lblOffset val="100"/>
        <c:noMultiLvlLbl val="0"/>
      </c:catAx>
      <c:valAx>
        <c:axId val="636385936"/>
        <c:scaling>
          <c:orientation val="minMax"/>
        </c:scaling>
        <c:delete val="1"/>
        <c:axPos val="b"/>
        <c:numFmt formatCode="0" sourceLinked="1"/>
        <c:majorTickMark val="none"/>
        <c:minorTickMark val="none"/>
        <c:tickLblPos val="nextTo"/>
        <c:crossAx val="1495627360"/>
        <c:crosses val="autoZero"/>
        <c:crossBetween val="between"/>
      </c:valAx>
      <c:spPr>
        <a:noFill/>
        <a:ln w="0">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Room Dashboard by DHAWLE.xlsx]Pivot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CFF"/>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387374067324546E-2"/>
          <c:y val="0.22040127195639006"/>
          <c:w val="0.93888888888888888"/>
          <c:h val="0.77577172645086034"/>
        </c:manualLayout>
      </c:layout>
      <c:areaChart>
        <c:grouping val="standard"/>
        <c:varyColors val="0"/>
        <c:ser>
          <c:idx val="0"/>
          <c:order val="0"/>
          <c:tx>
            <c:strRef>
              <c:f>'Pivot report'!$E$4</c:f>
              <c:strCache>
                <c:ptCount val="1"/>
                <c:pt idx="0">
                  <c:v>Total</c:v>
                </c:pt>
              </c:strCache>
            </c:strRef>
          </c:tx>
          <c:spPr>
            <a:solidFill>
              <a:srgbClr val="FFCCFF"/>
            </a:solidFill>
            <a:ln w="25400">
              <a:noFill/>
            </a:ln>
            <a:effectLst/>
          </c:spPr>
          <c:cat>
            <c:strRef>
              <c:f>'Pivot report'!$D$5:$D$36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report'!$E$5:$E$36</c:f>
              <c:numCache>
                <c:formatCode>General</c:formatCode>
                <c:ptCount val="31"/>
                <c:pt idx="0">
                  <c:v>32</c:v>
                </c:pt>
                <c:pt idx="1">
                  <c:v>28</c:v>
                </c:pt>
                <c:pt idx="2">
                  <c:v>28</c:v>
                </c:pt>
                <c:pt idx="3">
                  <c:v>25</c:v>
                </c:pt>
                <c:pt idx="4">
                  <c:v>23</c:v>
                </c:pt>
                <c:pt idx="5">
                  <c:v>22</c:v>
                </c:pt>
                <c:pt idx="6">
                  <c:v>33</c:v>
                </c:pt>
                <c:pt idx="7">
                  <c:v>31</c:v>
                </c:pt>
                <c:pt idx="8">
                  <c:v>35</c:v>
                </c:pt>
                <c:pt idx="9">
                  <c:v>30</c:v>
                </c:pt>
                <c:pt idx="10">
                  <c:v>32</c:v>
                </c:pt>
                <c:pt idx="11">
                  <c:v>39</c:v>
                </c:pt>
                <c:pt idx="12">
                  <c:v>39</c:v>
                </c:pt>
                <c:pt idx="13">
                  <c:v>30</c:v>
                </c:pt>
                <c:pt idx="14">
                  <c:v>29</c:v>
                </c:pt>
                <c:pt idx="15">
                  <c:v>34</c:v>
                </c:pt>
                <c:pt idx="16">
                  <c:v>30</c:v>
                </c:pt>
                <c:pt idx="17">
                  <c:v>28</c:v>
                </c:pt>
                <c:pt idx="18">
                  <c:v>33</c:v>
                </c:pt>
                <c:pt idx="19">
                  <c:v>30</c:v>
                </c:pt>
                <c:pt idx="20">
                  <c:v>31</c:v>
                </c:pt>
                <c:pt idx="21">
                  <c:v>27</c:v>
                </c:pt>
                <c:pt idx="22">
                  <c:v>32</c:v>
                </c:pt>
                <c:pt idx="23">
                  <c:v>29</c:v>
                </c:pt>
                <c:pt idx="24">
                  <c:v>29</c:v>
                </c:pt>
                <c:pt idx="25">
                  <c:v>29</c:v>
                </c:pt>
                <c:pt idx="26">
                  <c:v>30</c:v>
                </c:pt>
                <c:pt idx="27">
                  <c:v>32</c:v>
                </c:pt>
                <c:pt idx="28">
                  <c:v>39</c:v>
                </c:pt>
                <c:pt idx="29">
                  <c:v>32</c:v>
                </c:pt>
                <c:pt idx="30">
                  <c:v>31</c:v>
                </c:pt>
              </c:numCache>
            </c:numRef>
          </c:val>
          <c:extLst>
            <c:ext xmlns:c16="http://schemas.microsoft.com/office/drawing/2014/chart" uri="{C3380CC4-5D6E-409C-BE32-E72D297353CC}">
              <c16:uniqueId val="{00000006-40E9-454F-B545-C26624254C0C}"/>
            </c:ext>
          </c:extLst>
        </c:ser>
        <c:dLbls>
          <c:showLegendKey val="0"/>
          <c:showVal val="0"/>
          <c:showCatName val="0"/>
          <c:showSerName val="0"/>
          <c:showPercent val="0"/>
          <c:showBubbleSize val="0"/>
        </c:dLbls>
        <c:axId val="631116848"/>
        <c:axId val="631120688"/>
      </c:areaChart>
      <c:catAx>
        <c:axId val="631116848"/>
        <c:scaling>
          <c:orientation val="minMax"/>
        </c:scaling>
        <c:delete val="1"/>
        <c:axPos val="b"/>
        <c:numFmt formatCode="General" sourceLinked="1"/>
        <c:majorTickMark val="out"/>
        <c:minorTickMark val="none"/>
        <c:tickLblPos val="nextTo"/>
        <c:crossAx val="631120688"/>
        <c:crosses val="autoZero"/>
        <c:auto val="1"/>
        <c:lblAlgn val="ctr"/>
        <c:lblOffset val="100"/>
        <c:noMultiLvlLbl val="0"/>
      </c:catAx>
      <c:valAx>
        <c:axId val="631120688"/>
        <c:scaling>
          <c:orientation val="minMax"/>
        </c:scaling>
        <c:delete val="1"/>
        <c:axPos val="l"/>
        <c:numFmt formatCode="General" sourceLinked="1"/>
        <c:majorTickMark val="none"/>
        <c:minorTickMark val="none"/>
        <c:tickLblPos val="nextTo"/>
        <c:crossAx val="6311168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Room Dashboard by DHAWLE.xlsx]Pivot report!PivotTable5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CFF"/>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205818022747151E-2"/>
          <c:y val="0"/>
          <c:w val="0.87955096237970254"/>
          <c:h val="0.77870662000583257"/>
        </c:manualLayout>
      </c:layout>
      <c:areaChart>
        <c:grouping val="standard"/>
        <c:varyColors val="0"/>
        <c:ser>
          <c:idx val="0"/>
          <c:order val="0"/>
          <c:tx>
            <c:strRef>
              <c:f>'Pivot report'!$L$4</c:f>
              <c:strCache>
                <c:ptCount val="1"/>
                <c:pt idx="0">
                  <c:v>Total</c:v>
                </c:pt>
              </c:strCache>
            </c:strRef>
          </c:tx>
          <c:spPr>
            <a:solidFill>
              <a:srgbClr val="FFCCFF"/>
            </a:solidFill>
            <a:ln w="25400">
              <a:noFill/>
            </a:ln>
            <a:effectLst/>
          </c:spPr>
          <c:cat>
            <c:strRef>
              <c:f>'Pivot report'!$K$5:$K$36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report'!$L$5:$L$36</c:f>
              <c:numCache>
                <c:formatCode>0.00</c:formatCode>
                <c:ptCount val="31"/>
                <c:pt idx="0">
                  <c:v>37.53125</c:v>
                </c:pt>
                <c:pt idx="1">
                  <c:v>31.357142857142858</c:v>
                </c:pt>
                <c:pt idx="2">
                  <c:v>35.285714285714285</c:v>
                </c:pt>
                <c:pt idx="3">
                  <c:v>34</c:v>
                </c:pt>
                <c:pt idx="4">
                  <c:v>28.391304347826086</c:v>
                </c:pt>
                <c:pt idx="5">
                  <c:v>36.545454545454547</c:v>
                </c:pt>
                <c:pt idx="6">
                  <c:v>33.939393939393938</c:v>
                </c:pt>
                <c:pt idx="7">
                  <c:v>38.516129032258064</c:v>
                </c:pt>
                <c:pt idx="8">
                  <c:v>34.74285714285714</c:v>
                </c:pt>
                <c:pt idx="9">
                  <c:v>34.5</c:v>
                </c:pt>
                <c:pt idx="10">
                  <c:v>31.65625</c:v>
                </c:pt>
                <c:pt idx="11">
                  <c:v>37.384615384615387</c:v>
                </c:pt>
                <c:pt idx="12">
                  <c:v>36.205128205128204</c:v>
                </c:pt>
                <c:pt idx="13">
                  <c:v>35.6</c:v>
                </c:pt>
                <c:pt idx="14">
                  <c:v>31.068965517241381</c:v>
                </c:pt>
                <c:pt idx="15">
                  <c:v>33</c:v>
                </c:pt>
                <c:pt idx="16">
                  <c:v>36.233333333333334</c:v>
                </c:pt>
                <c:pt idx="17">
                  <c:v>37.142857142857146</c:v>
                </c:pt>
                <c:pt idx="18">
                  <c:v>34.666666666666664</c:v>
                </c:pt>
                <c:pt idx="19">
                  <c:v>36.033333333333331</c:v>
                </c:pt>
                <c:pt idx="20">
                  <c:v>33.838709677419352</c:v>
                </c:pt>
                <c:pt idx="21">
                  <c:v>34.592592592592595</c:v>
                </c:pt>
                <c:pt idx="22">
                  <c:v>34.4375</c:v>
                </c:pt>
                <c:pt idx="23">
                  <c:v>36.172413793103445</c:v>
                </c:pt>
                <c:pt idx="24">
                  <c:v>34.758620689655174</c:v>
                </c:pt>
                <c:pt idx="25">
                  <c:v>37.241379310344826</c:v>
                </c:pt>
                <c:pt idx="26">
                  <c:v>33.9</c:v>
                </c:pt>
                <c:pt idx="27">
                  <c:v>35.4375</c:v>
                </c:pt>
                <c:pt idx="28">
                  <c:v>36.820512820512818</c:v>
                </c:pt>
                <c:pt idx="29">
                  <c:v>31.3125</c:v>
                </c:pt>
                <c:pt idx="30">
                  <c:v>39.064516129032256</c:v>
                </c:pt>
              </c:numCache>
            </c:numRef>
          </c:val>
          <c:extLst>
            <c:ext xmlns:c16="http://schemas.microsoft.com/office/drawing/2014/chart" uri="{C3380CC4-5D6E-409C-BE32-E72D297353CC}">
              <c16:uniqueId val="{00000005-7FA7-42E7-867E-27BFCEE38822}"/>
            </c:ext>
          </c:extLst>
        </c:ser>
        <c:dLbls>
          <c:showLegendKey val="0"/>
          <c:showVal val="0"/>
          <c:showCatName val="0"/>
          <c:showSerName val="0"/>
          <c:showPercent val="0"/>
          <c:showBubbleSize val="0"/>
        </c:dLbls>
        <c:axId val="339527104"/>
        <c:axId val="339526624"/>
      </c:areaChart>
      <c:catAx>
        <c:axId val="339527104"/>
        <c:scaling>
          <c:orientation val="minMax"/>
        </c:scaling>
        <c:delete val="1"/>
        <c:axPos val="b"/>
        <c:numFmt formatCode="General" sourceLinked="1"/>
        <c:majorTickMark val="out"/>
        <c:minorTickMark val="none"/>
        <c:tickLblPos val="nextTo"/>
        <c:crossAx val="339526624"/>
        <c:crosses val="autoZero"/>
        <c:auto val="1"/>
        <c:lblAlgn val="ctr"/>
        <c:lblOffset val="100"/>
        <c:noMultiLvlLbl val="0"/>
      </c:catAx>
      <c:valAx>
        <c:axId val="339526624"/>
        <c:scaling>
          <c:orientation val="minMax"/>
        </c:scaling>
        <c:delete val="1"/>
        <c:axPos val="l"/>
        <c:numFmt formatCode="0.00" sourceLinked="1"/>
        <c:majorTickMark val="none"/>
        <c:minorTickMark val="none"/>
        <c:tickLblPos val="nextTo"/>
        <c:crossAx val="3395271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Room Dashboard by DHAWLE.xlsx]Pivot report!PivotTable6</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CFF"/>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4566210045662"/>
          <c:y val="0.10062886437289201"/>
          <c:w val="0.79908675799086759"/>
          <c:h val="0.71488488427680597"/>
        </c:manualLayout>
      </c:layout>
      <c:areaChart>
        <c:grouping val="standard"/>
        <c:varyColors val="0"/>
        <c:ser>
          <c:idx val="0"/>
          <c:order val="0"/>
          <c:tx>
            <c:strRef>
              <c:f>'Pivot report'!$P$4</c:f>
              <c:strCache>
                <c:ptCount val="1"/>
                <c:pt idx="0">
                  <c:v>Total</c:v>
                </c:pt>
              </c:strCache>
            </c:strRef>
          </c:tx>
          <c:spPr>
            <a:solidFill>
              <a:srgbClr val="FFCCFF"/>
            </a:solidFill>
            <a:ln w="25400">
              <a:noFill/>
            </a:ln>
            <a:effectLst/>
          </c:spPr>
          <c:cat>
            <c:strRef>
              <c:f>'Pivot report'!$O$5:$O$36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report'!$P$5:$P$36</c:f>
              <c:numCache>
                <c:formatCode>0.00</c:formatCode>
                <c:ptCount val="31"/>
                <c:pt idx="0">
                  <c:v>3.7</c:v>
                </c:pt>
                <c:pt idx="1">
                  <c:v>5.8</c:v>
                </c:pt>
                <c:pt idx="2">
                  <c:v>4</c:v>
                </c:pt>
                <c:pt idx="3">
                  <c:v>2</c:v>
                </c:pt>
                <c:pt idx="4">
                  <c:v>6</c:v>
                </c:pt>
                <c:pt idx="5">
                  <c:v>5</c:v>
                </c:pt>
                <c:pt idx="6">
                  <c:v>5.1111111111111107</c:v>
                </c:pt>
                <c:pt idx="7">
                  <c:v>3.8571428571428572</c:v>
                </c:pt>
                <c:pt idx="8">
                  <c:v>6.5714285714285712</c:v>
                </c:pt>
                <c:pt idx="9">
                  <c:v>5.2857142857142856</c:v>
                </c:pt>
                <c:pt idx="10">
                  <c:v>5.5</c:v>
                </c:pt>
                <c:pt idx="11">
                  <c:v>4.8181818181818183</c:v>
                </c:pt>
                <c:pt idx="12">
                  <c:v>5</c:v>
                </c:pt>
                <c:pt idx="13">
                  <c:v>3.2222222222222223</c:v>
                </c:pt>
                <c:pt idx="14">
                  <c:v>6.333333333333333</c:v>
                </c:pt>
                <c:pt idx="15">
                  <c:v>3.8</c:v>
                </c:pt>
                <c:pt idx="16">
                  <c:v>3.1111111111111112</c:v>
                </c:pt>
                <c:pt idx="17">
                  <c:v>2.8333333333333335</c:v>
                </c:pt>
                <c:pt idx="18">
                  <c:v>6.625</c:v>
                </c:pt>
                <c:pt idx="19">
                  <c:v>3.5</c:v>
                </c:pt>
                <c:pt idx="20">
                  <c:v>5.166666666666667</c:v>
                </c:pt>
                <c:pt idx="21">
                  <c:v>5.333333333333333</c:v>
                </c:pt>
                <c:pt idx="22">
                  <c:v>4.875</c:v>
                </c:pt>
                <c:pt idx="23">
                  <c:v>4.5</c:v>
                </c:pt>
                <c:pt idx="24">
                  <c:v>4.625</c:v>
                </c:pt>
                <c:pt idx="25">
                  <c:v>5</c:v>
                </c:pt>
                <c:pt idx="26">
                  <c:v>6.8181818181818183</c:v>
                </c:pt>
                <c:pt idx="27">
                  <c:v>6.375</c:v>
                </c:pt>
                <c:pt idx="28">
                  <c:v>4.615384615384615</c:v>
                </c:pt>
                <c:pt idx="29">
                  <c:v>5.5454545454545459</c:v>
                </c:pt>
                <c:pt idx="30">
                  <c:v>6.9090909090909092</c:v>
                </c:pt>
              </c:numCache>
            </c:numRef>
          </c:val>
          <c:extLst>
            <c:ext xmlns:c16="http://schemas.microsoft.com/office/drawing/2014/chart" uri="{C3380CC4-5D6E-409C-BE32-E72D297353CC}">
              <c16:uniqueId val="{00000005-E9C6-440A-83E8-41A0976186AD}"/>
            </c:ext>
          </c:extLst>
        </c:ser>
        <c:dLbls>
          <c:showLegendKey val="0"/>
          <c:showVal val="0"/>
          <c:showCatName val="0"/>
          <c:showSerName val="0"/>
          <c:showPercent val="0"/>
          <c:showBubbleSize val="0"/>
        </c:dLbls>
        <c:axId val="451314272"/>
        <c:axId val="451324832"/>
      </c:areaChart>
      <c:catAx>
        <c:axId val="451314272"/>
        <c:scaling>
          <c:orientation val="minMax"/>
        </c:scaling>
        <c:delete val="1"/>
        <c:axPos val="b"/>
        <c:numFmt formatCode="General" sourceLinked="1"/>
        <c:majorTickMark val="out"/>
        <c:minorTickMark val="none"/>
        <c:tickLblPos val="nextTo"/>
        <c:crossAx val="451324832"/>
        <c:crosses val="autoZero"/>
        <c:auto val="1"/>
        <c:lblAlgn val="ctr"/>
        <c:lblOffset val="100"/>
        <c:noMultiLvlLbl val="0"/>
      </c:catAx>
      <c:valAx>
        <c:axId val="451324832"/>
        <c:scaling>
          <c:orientation val="minMax"/>
        </c:scaling>
        <c:delete val="1"/>
        <c:axPos val="l"/>
        <c:numFmt formatCode="0.00" sourceLinked="1"/>
        <c:majorTickMark val="none"/>
        <c:minorTickMark val="none"/>
        <c:tickLblPos val="nextTo"/>
        <c:crossAx val="4513142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Room Dashboard by DHAWLE.xlsx]Pivot report!PivotTable8</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a:t>No of Patient by Age</a:t>
            </a:r>
            <a:r>
              <a:rPr lang="en-IN" sz="1100" baseline="0"/>
              <a:t> Group</a:t>
            </a:r>
            <a:endParaRPr lang="en-IN" sz="1100"/>
          </a:p>
        </c:rich>
      </c:tx>
      <c:layout>
        <c:manualLayout>
          <c:xMode val="edge"/>
          <c:yMode val="edge"/>
          <c:x val="0.25313104200997161"/>
          <c:y val="0.8756967310863861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CFF"/>
          </a:solidFill>
          <a:ln>
            <a:solidFill>
              <a:srgbClr val="FFCC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380028968407325E-2"/>
          <c:y val="3.1797840317317132E-2"/>
          <c:w val="0.91923994206318538"/>
          <c:h val="0.70837671123710955"/>
        </c:manualLayout>
      </c:layout>
      <c:barChart>
        <c:barDir val="col"/>
        <c:grouping val="clustered"/>
        <c:varyColors val="0"/>
        <c:ser>
          <c:idx val="0"/>
          <c:order val="0"/>
          <c:tx>
            <c:strRef>
              <c:f>'Pivot report'!$X$4</c:f>
              <c:strCache>
                <c:ptCount val="1"/>
                <c:pt idx="0">
                  <c:v>Total</c:v>
                </c:pt>
              </c:strCache>
            </c:strRef>
          </c:tx>
          <c:spPr>
            <a:solidFill>
              <a:srgbClr val="FFCCFF"/>
            </a:solidFill>
            <a:ln>
              <a:solidFill>
                <a:srgbClr val="FFCCFF"/>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report'!$W$5:$W$13</c:f>
              <c:strCache>
                <c:ptCount val="8"/>
                <c:pt idx="0">
                  <c:v>0-9</c:v>
                </c:pt>
                <c:pt idx="1">
                  <c:v>10-19</c:v>
                </c:pt>
                <c:pt idx="2">
                  <c:v>20-29</c:v>
                </c:pt>
                <c:pt idx="3">
                  <c:v>30-39</c:v>
                </c:pt>
                <c:pt idx="4">
                  <c:v>40-49</c:v>
                </c:pt>
                <c:pt idx="5">
                  <c:v>50-59</c:v>
                </c:pt>
                <c:pt idx="6">
                  <c:v>60-69</c:v>
                </c:pt>
                <c:pt idx="7">
                  <c:v>70-79</c:v>
                </c:pt>
              </c:strCache>
            </c:strRef>
          </c:cat>
          <c:val>
            <c:numRef>
              <c:f>'Pivot report'!$X$5:$X$13</c:f>
              <c:numCache>
                <c:formatCode>0</c:formatCode>
                <c:ptCount val="8"/>
                <c:pt idx="0">
                  <c:v>123</c:v>
                </c:pt>
                <c:pt idx="1">
                  <c:v>126</c:v>
                </c:pt>
                <c:pt idx="2">
                  <c:v>120</c:v>
                </c:pt>
                <c:pt idx="3">
                  <c:v>103</c:v>
                </c:pt>
                <c:pt idx="4">
                  <c:v>135</c:v>
                </c:pt>
                <c:pt idx="5">
                  <c:v>134</c:v>
                </c:pt>
                <c:pt idx="6">
                  <c:v>96</c:v>
                </c:pt>
                <c:pt idx="7">
                  <c:v>115</c:v>
                </c:pt>
              </c:numCache>
            </c:numRef>
          </c:val>
          <c:extLst>
            <c:ext xmlns:c16="http://schemas.microsoft.com/office/drawing/2014/chart" uri="{C3380CC4-5D6E-409C-BE32-E72D297353CC}">
              <c16:uniqueId val="{00000005-5B00-494C-8B44-FAC1F0D8B59C}"/>
            </c:ext>
          </c:extLst>
        </c:ser>
        <c:dLbls>
          <c:dLblPos val="outEnd"/>
          <c:showLegendKey val="0"/>
          <c:showVal val="1"/>
          <c:showCatName val="0"/>
          <c:showSerName val="0"/>
          <c:showPercent val="0"/>
          <c:showBubbleSize val="0"/>
        </c:dLbls>
        <c:gapWidth val="219"/>
        <c:overlap val="-27"/>
        <c:axId val="142961632"/>
        <c:axId val="142953952"/>
      </c:barChart>
      <c:catAx>
        <c:axId val="142961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53952"/>
        <c:crosses val="autoZero"/>
        <c:auto val="1"/>
        <c:lblAlgn val="ctr"/>
        <c:lblOffset val="100"/>
        <c:noMultiLvlLbl val="0"/>
      </c:catAx>
      <c:valAx>
        <c:axId val="142953952"/>
        <c:scaling>
          <c:orientation val="minMax"/>
        </c:scaling>
        <c:delete val="1"/>
        <c:axPos val="l"/>
        <c:numFmt formatCode="0" sourceLinked="1"/>
        <c:majorTickMark val="out"/>
        <c:minorTickMark val="none"/>
        <c:tickLblPos val="nextTo"/>
        <c:crossAx val="142961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Room Dashboard by DHAWLE.xlsx]Pivot report!PivotTable9</c:name>
    <c:fmtId val="5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FFCCFF"/>
          </a:solidFill>
          <a:ln w="19050">
            <a:solidFill>
              <a:schemeClr val="lt1"/>
            </a:solidFill>
          </a:ln>
          <a:effectLst/>
        </c:spPr>
      </c:pivotFmt>
      <c:pivotFmt>
        <c:idx val="13"/>
        <c:spPr>
          <a:solidFill>
            <a:srgbClr val="CCCCFF"/>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rgbClr val="FFCCFF"/>
          </a:solidFill>
          <a:ln w="19050">
            <a:solidFill>
              <a:schemeClr val="lt1"/>
            </a:solidFill>
          </a:ln>
          <a:effectLst/>
        </c:spPr>
      </c:pivotFmt>
      <c:pivotFmt>
        <c:idx val="16"/>
        <c:spPr>
          <a:solidFill>
            <a:srgbClr val="CCCCFF"/>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solidFill>
            <a:srgbClr val="FFCCFF"/>
          </a:solidFill>
          <a:ln w="19050">
            <a:solidFill>
              <a:schemeClr val="lt1"/>
            </a:solidFill>
          </a:ln>
          <a:effectLst/>
        </c:spPr>
      </c:pivotFmt>
      <c:pivotFmt>
        <c:idx val="19"/>
        <c:spPr>
          <a:solidFill>
            <a:srgbClr val="CCCCFF"/>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solidFill>
            <a:srgbClr val="FFCCFF"/>
          </a:solidFill>
          <a:ln w="19050">
            <a:solidFill>
              <a:schemeClr val="lt1"/>
            </a:solidFill>
          </a:ln>
          <a:effectLst/>
        </c:spPr>
      </c:pivotFmt>
      <c:pivotFmt>
        <c:idx val="22"/>
        <c:spPr>
          <a:solidFill>
            <a:srgbClr val="CCCCFF"/>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4"/>
        <c:spPr>
          <a:solidFill>
            <a:srgbClr val="FFCCFF"/>
          </a:solidFill>
          <a:ln w="19050">
            <a:solidFill>
              <a:schemeClr val="lt1"/>
            </a:solidFill>
          </a:ln>
          <a:effectLst/>
        </c:spPr>
      </c:pivotFmt>
      <c:pivotFmt>
        <c:idx val="25"/>
        <c:spPr>
          <a:solidFill>
            <a:srgbClr val="CCCCFF"/>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7"/>
        <c:spPr>
          <a:solidFill>
            <a:srgbClr val="FFCCFF"/>
          </a:solidFill>
          <a:ln w="19050">
            <a:solidFill>
              <a:schemeClr val="lt1"/>
            </a:solidFill>
          </a:ln>
          <a:effectLst/>
        </c:spPr>
      </c:pivotFmt>
      <c:pivotFmt>
        <c:idx val="28"/>
        <c:spPr>
          <a:solidFill>
            <a:srgbClr val="CCCCFF"/>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0"/>
        <c:spPr>
          <a:solidFill>
            <a:srgbClr val="FFCCFF"/>
          </a:solidFill>
          <a:ln w="19050">
            <a:solidFill>
              <a:schemeClr val="lt1"/>
            </a:solidFill>
          </a:ln>
          <a:effectLst/>
        </c:spPr>
      </c:pivotFmt>
      <c:pivotFmt>
        <c:idx val="31"/>
        <c:spPr>
          <a:solidFill>
            <a:srgbClr val="CCCCFF"/>
          </a:solidFill>
          <a:ln w="19050">
            <a:solidFill>
              <a:schemeClr val="lt1"/>
            </a:solidFill>
          </a:ln>
          <a:effectLst/>
        </c:spPr>
      </c:pivotFmt>
    </c:pivotFmts>
    <c:plotArea>
      <c:layout>
        <c:manualLayout>
          <c:layoutTarget val="inner"/>
          <c:xMode val="edge"/>
          <c:yMode val="edge"/>
          <c:x val="0.13710296545883272"/>
          <c:y val="0.16561386452082183"/>
          <c:w val="0.7970595764597177"/>
          <c:h val="0.83431857100838902"/>
        </c:manualLayout>
      </c:layout>
      <c:pieChart>
        <c:varyColors val="1"/>
        <c:ser>
          <c:idx val="0"/>
          <c:order val="0"/>
          <c:tx>
            <c:strRef>
              <c:f>'Pivot report'!$AA$4</c:f>
              <c:strCache>
                <c:ptCount val="1"/>
                <c:pt idx="0">
                  <c:v>Total</c:v>
                </c:pt>
              </c:strCache>
            </c:strRef>
          </c:tx>
          <c:dPt>
            <c:idx val="0"/>
            <c:bubble3D val="0"/>
            <c:spPr>
              <a:solidFill>
                <a:srgbClr val="FFCCFF"/>
              </a:solidFill>
              <a:ln w="19050">
                <a:solidFill>
                  <a:schemeClr val="lt1"/>
                </a:solidFill>
              </a:ln>
              <a:effectLst/>
            </c:spPr>
            <c:extLst>
              <c:ext xmlns:c16="http://schemas.microsoft.com/office/drawing/2014/chart" uri="{C3380CC4-5D6E-409C-BE32-E72D297353CC}">
                <c16:uniqueId val="{00000001-2E8B-4BD5-802C-EF7CF3528048}"/>
              </c:ext>
            </c:extLst>
          </c:dPt>
          <c:dPt>
            <c:idx val="1"/>
            <c:bubble3D val="0"/>
            <c:spPr>
              <a:solidFill>
                <a:srgbClr val="CCCCFF"/>
              </a:solidFill>
              <a:ln w="19050">
                <a:solidFill>
                  <a:schemeClr val="lt1"/>
                </a:solidFill>
              </a:ln>
              <a:effectLst/>
            </c:spPr>
            <c:extLst>
              <c:ext xmlns:c16="http://schemas.microsoft.com/office/drawing/2014/chart" uri="{C3380CC4-5D6E-409C-BE32-E72D297353CC}">
                <c16:uniqueId val="{00000003-2E8B-4BD5-802C-EF7CF3528048}"/>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report'!$Z$5:$Z$7</c:f>
              <c:strCache>
                <c:ptCount val="2"/>
                <c:pt idx="0">
                  <c:v>Delay</c:v>
                </c:pt>
                <c:pt idx="1">
                  <c:v>On-Time</c:v>
                </c:pt>
              </c:strCache>
            </c:strRef>
          </c:cat>
          <c:val>
            <c:numRef>
              <c:f>'Pivot report'!$AA$5:$AA$7</c:f>
              <c:numCache>
                <c:formatCode>0</c:formatCode>
                <c:ptCount val="2"/>
                <c:pt idx="0">
                  <c:v>555</c:v>
                </c:pt>
                <c:pt idx="1">
                  <c:v>397</c:v>
                </c:pt>
              </c:numCache>
            </c:numRef>
          </c:val>
          <c:extLst>
            <c:ext xmlns:c16="http://schemas.microsoft.com/office/drawing/2014/chart" uri="{C3380CC4-5D6E-409C-BE32-E72D297353CC}">
              <c16:uniqueId val="{00000009-BE7A-4938-A4B3-7FF0DF9F13F4}"/>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13316979450478506"/>
          <c:y val="1.1458350250189018E-2"/>
          <c:w val="0.73894795385663881"/>
          <c:h val="0.1776419751984215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Room Dashboard by DHAWLE.xlsx]Pivot report!PivotTable10</c:name>
    <c:fmtId val="63"/>
  </c:pivotSource>
  <c:chart>
    <c:title>
      <c:tx>
        <c:rich>
          <a:bodyPr rot="0" spcFirstLastPara="1" vertOverflow="ellipsis" vert="horz" wrap="square" anchor="ctr" anchorCtr="1"/>
          <a:lstStyle/>
          <a:p>
            <a:pPr>
              <a:defRPr sz="850" b="0" i="0" u="none" strike="noStrike" kern="1200" spc="0" baseline="0">
                <a:solidFill>
                  <a:schemeClr val="tx1">
                    <a:lumMod val="65000"/>
                    <a:lumOff val="35000"/>
                  </a:schemeClr>
                </a:solidFill>
                <a:latin typeface="+mn-lt"/>
                <a:ea typeface="+mn-ea"/>
                <a:cs typeface="+mn-cs"/>
              </a:defRPr>
            </a:pPr>
            <a:r>
              <a:rPr lang="en-US" sz="850"/>
              <a:t>No. of Patients</a:t>
            </a:r>
            <a:r>
              <a:rPr lang="en-US" sz="850" baseline="0"/>
              <a:t> by Gender</a:t>
            </a:r>
            <a:endParaRPr lang="en-US" sz="850"/>
          </a:p>
        </c:rich>
      </c:tx>
      <c:layout>
        <c:manualLayout>
          <c:xMode val="edge"/>
          <c:yMode val="edge"/>
          <c:x val="0.18128165926086431"/>
          <c:y val="0.89572032051345685"/>
        </c:manualLayout>
      </c:layout>
      <c:overlay val="0"/>
      <c:spPr>
        <a:noFill/>
        <a:ln>
          <a:noFill/>
        </a:ln>
        <a:effectLst/>
      </c:spPr>
      <c:txPr>
        <a:bodyPr rot="0" spcFirstLastPara="1" vertOverflow="ellipsis" vert="horz" wrap="square" anchor="ctr" anchorCtr="1"/>
        <a:lstStyle/>
        <a:p>
          <a:pPr>
            <a:defRPr sz="8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CCC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CFF"/>
          </a:solidFill>
          <a:ln w="19050">
            <a:solidFill>
              <a:schemeClr val="lt1"/>
            </a:solidFill>
          </a:ln>
          <a:effectLst/>
        </c:spPr>
      </c:pivotFmt>
      <c:pivotFmt>
        <c:idx val="2"/>
        <c:spPr>
          <a:solidFill>
            <a:srgbClr val="CCCC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CFF"/>
          </a:solidFill>
          <a:ln w="19050">
            <a:solidFill>
              <a:schemeClr val="lt1"/>
            </a:solidFill>
          </a:ln>
          <a:effectLst/>
        </c:spPr>
      </c:pivotFmt>
      <c:pivotFmt>
        <c:idx val="4"/>
        <c:spPr>
          <a:solidFill>
            <a:srgbClr val="CCCCFF"/>
          </a:solidFill>
          <a:ln w="19050">
            <a:solidFill>
              <a:schemeClr val="lt1"/>
            </a:solidFill>
          </a:ln>
          <a:effectLst/>
        </c:spPr>
      </c:pivotFmt>
      <c:pivotFmt>
        <c:idx val="5"/>
        <c:spPr>
          <a:solidFill>
            <a:srgbClr val="CCCC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CFF"/>
          </a:solidFill>
          <a:ln w="19050">
            <a:solidFill>
              <a:schemeClr val="lt1"/>
            </a:solidFill>
          </a:ln>
          <a:effectLst/>
        </c:spPr>
      </c:pivotFmt>
      <c:pivotFmt>
        <c:idx val="7"/>
        <c:spPr>
          <a:solidFill>
            <a:srgbClr val="CCCCFF"/>
          </a:solidFill>
          <a:ln w="19050">
            <a:solidFill>
              <a:schemeClr val="lt1"/>
            </a:solidFill>
          </a:ln>
          <a:effectLst/>
        </c:spPr>
      </c:pivotFmt>
    </c:pivotFmts>
    <c:plotArea>
      <c:layout>
        <c:manualLayout>
          <c:layoutTarget val="inner"/>
          <c:xMode val="edge"/>
          <c:yMode val="edge"/>
          <c:x val="0.27371590657128186"/>
          <c:y val="0.16463103783591301"/>
          <c:w val="0.51553928534911697"/>
          <c:h val="0.6828900653907084"/>
        </c:manualLayout>
      </c:layout>
      <c:doughnutChart>
        <c:varyColors val="1"/>
        <c:ser>
          <c:idx val="0"/>
          <c:order val="0"/>
          <c:tx>
            <c:strRef>
              <c:f>'Pivot report'!$AD$4</c:f>
              <c:strCache>
                <c:ptCount val="1"/>
                <c:pt idx="0">
                  <c:v>Total</c:v>
                </c:pt>
              </c:strCache>
            </c:strRef>
          </c:tx>
          <c:spPr>
            <a:solidFill>
              <a:srgbClr val="CCCCFF"/>
            </a:solidFill>
          </c:spPr>
          <c:dPt>
            <c:idx val="0"/>
            <c:bubble3D val="0"/>
            <c:spPr>
              <a:solidFill>
                <a:srgbClr val="FFCCFF"/>
              </a:solidFill>
              <a:ln w="19050">
                <a:solidFill>
                  <a:schemeClr val="lt1"/>
                </a:solidFill>
              </a:ln>
              <a:effectLst/>
            </c:spPr>
            <c:extLst>
              <c:ext xmlns:c16="http://schemas.microsoft.com/office/drawing/2014/chart" uri="{C3380CC4-5D6E-409C-BE32-E72D297353CC}">
                <c16:uniqueId val="{00000001-9C7E-4B97-88D3-35B887FE6CC0}"/>
              </c:ext>
            </c:extLst>
          </c:dPt>
          <c:dPt>
            <c:idx val="1"/>
            <c:bubble3D val="0"/>
            <c:spPr>
              <a:solidFill>
                <a:srgbClr val="CCCCFF"/>
              </a:solidFill>
              <a:ln w="19050">
                <a:solidFill>
                  <a:schemeClr val="lt1"/>
                </a:solidFill>
              </a:ln>
              <a:effectLst/>
            </c:spPr>
            <c:extLst>
              <c:ext xmlns:c16="http://schemas.microsoft.com/office/drawing/2014/chart" uri="{C3380CC4-5D6E-409C-BE32-E72D297353CC}">
                <c16:uniqueId val="{00000003-9C7E-4B97-88D3-35B887FE6CC0}"/>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report'!$AC$5:$AC$7</c:f>
              <c:strCache>
                <c:ptCount val="2"/>
                <c:pt idx="0">
                  <c:v>Female</c:v>
                </c:pt>
                <c:pt idx="1">
                  <c:v>Male</c:v>
                </c:pt>
              </c:strCache>
            </c:strRef>
          </c:cat>
          <c:val>
            <c:numRef>
              <c:f>'Pivot report'!$AD$5:$AD$7</c:f>
              <c:numCache>
                <c:formatCode>0</c:formatCode>
                <c:ptCount val="2"/>
                <c:pt idx="0">
                  <c:v>460</c:v>
                </c:pt>
                <c:pt idx="1">
                  <c:v>492</c:v>
                </c:pt>
              </c:numCache>
            </c:numRef>
          </c:val>
          <c:extLst>
            <c:ext xmlns:c16="http://schemas.microsoft.com/office/drawing/2014/chart" uri="{C3380CC4-5D6E-409C-BE32-E72D297353CC}">
              <c16:uniqueId val="{00000009-6968-42B9-AF7C-4B23C696DCA2}"/>
            </c:ext>
          </c:extLst>
        </c:ser>
        <c:dLbls>
          <c:showLegendKey val="0"/>
          <c:showVal val="0"/>
          <c:showCatName val="0"/>
          <c:showSerName val="0"/>
          <c:showPercent val="0"/>
          <c:showBubbleSize val="0"/>
          <c:showLeaderLines val="1"/>
        </c:dLbls>
        <c:firstSliceAng val="0"/>
        <c:holeSize val="51"/>
      </c:doughnutChart>
      <c:spPr>
        <a:noFill/>
        <a:ln>
          <a:noFill/>
        </a:ln>
        <a:effectLst/>
      </c:spPr>
    </c:plotArea>
    <c:legend>
      <c:legendPos val="t"/>
      <c:layout>
        <c:manualLayout>
          <c:xMode val="edge"/>
          <c:yMode val="edge"/>
          <c:x val="0.26049964135828235"/>
          <c:y val="4.8534762281191302E-2"/>
          <c:w val="0.50465324161593716"/>
          <c:h val="0.1507114626302227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Room Dashboard by DHAWLE.xlsx]Pivot report!PivotTable11</c:name>
    <c:fmtId val="69"/>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a:t>No. of</a:t>
            </a:r>
            <a:r>
              <a:rPr lang="en-US" sz="900" baseline="0"/>
              <a:t> Patients by Department Referral</a:t>
            </a:r>
            <a:endParaRPr lang="en-US" sz="900"/>
          </a:p>
        </c:rich>
      </c:tx>
      <c:layout>
        <c:manualLayout>
          <c:xMode val="edge"/>
          <c:yMode val="edge"/>
          <c:x val="0.35444067213947433"/>
          <c:y val="0.88258907557577448"/>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CFF"/>
          </a:solidFill>
          <a:ln w="28575">
            <a:solidFill>
              <a:srgbClr val="FFCC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CFF"/>
          </a:solidFill>
          <a:ln w="28575">
            <a:solidFill>
              <a:srgbClr val="FFCC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CFF"/>
          </a:solidFill>
          <a:ln w="28575">
            <a:solidFill>
              <a:srgbClr val="FFCC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669147927957144"/>
          <c:y val="4.2848727250178284E-2"/>
          <c:w val="0.6164092916202123"/>
          <c:h val="0.87839890862865466"/>
        </c:manualLayout>
      </c:layout>
      <c:barChart>
        <c:barDir val="bar"/>
        <c:grouping val="clustered"/>
        <c:varyColors val="0"/>
        <c:ser>
          <c:idx val="0"/>
          <c:order val="0"/>
          <c:tx>
            <c:strRef>
              <c:f>'Pivot report'!$AG$4</c:f>
              <c:strCache>
                <c:ptCount val="1"/>
                <c:pt idx="0">
                  <c:v>Total</c:v>
                </c:pt>
              </c:strCache>
            </c:strRef>
          </c:tx>
          <c:spPr>
            <a:solidFill>
              <a:srgbClr val="FFCCFF"/>
            </a:solidFill>
            <a:ln w="28575">
              <a:solidFill>
                <a:srgbClr val="FFCCFF"/>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report'!$AF$5:$AF$13</c:f>
              <c:strCache>
                <c:ptCount val="8"/>
                <c:pt idx="0">
                  <c:v>Renal</c:v>
                </c:pt>
                <c:pt idx="1">
                  <c:v>Neurology</c:v>
                </c:pt>
                <c:pt idx="2">
                  <c:v>Gastroenterology</c:v>
                </c:pt>
                <c:pt idx="3">
                  <c:v>Cardiology</c:v>
                </c:pt>
                <c:pt idx="4">
                  <c:v>Physiotherapy</c:v>
                </c:pt>
                <c:pt idx="5">
                  <c:v>Orthopedics</c:v>
                </c:pt>
                <c:pt idx="6">
                  <c:v>General Practice</c:v>
                </c:pt>
                <c:pt idx="7">
                  <c:v>None</c:v>
                </c:pt>
              </c:strCache>
            </c:strRef>
          </c:cat>
          <c:val>
            <c:numRef>
              <c:f>'Pivot report'!$AG$5:$AG$13</c:f>
              <c:numCache>
                <c:formatCode>0</c:formatCode>
                <c:ptCount val="8"/>
                <c:pt idx="0">
                  <c:v>7</c:v>
                </c:pt>
                <c:pt idx="1">
                  <c:v>16</c:v>
                </c:pt>
                <c:pt idx="2">
                  <c:v>19</c:v>
                </c:pt>
                <c:pt idx="3">
                  <c:v>23</c:v>
                </c:pt>
                <c:pt idx="4">
                  <c:v>23</c:v>
                </c:pt>
                <c:pt idx="5">
                  <c:v>114</c:v>
                </c:pt>
                <c:pt idx="6">
                  <c:v>180</c:v>
                </c:pt>
                <c:pt idx="7">
                  <c:v>570</c:v>
                </c:pt>
              </c:numCache>
            </c:numRef>
          </c:val>
          <c:extLst>
            <c:ext xmlns:c16="http://schemas.microsoft.com/office/drawing/2014/chart" uri="{C3380CC4-5D6E-409C-BE32-E72D297353CC}">
              <c16:uniqueId val="{00000005-7E44-4963-9D88-B7B3553751CE}"/>
            </c:ext>
          </c:extLst>
        </c:ser>
        <c:dLbls>
          <c:dLblPos val="outEnd"/>
          <c:showLegendKey val="0"/>
          <c:showVal val="1"/>
          <c:showCatName val="0"/>
          <c:showSerName val="0"/>
          <c:showPercent val="0"/>
          <c:showBubbleSize val="0"/>
        </c:dLbls>
        <c:gapWidth val="75"/>
        <c:axId val="223136224"/>
        <c:axId val="223136704"/>
      </c:barChart>
      <c:catAx>
        <c:axId val="223136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136704"/>
        <c:crosses val="autoZero"/>
        <c:auto val="1"/>
        <c:lblAlgn val="ctr"/>
        <c:lblOffset val="100"/>
        <c:noMultiLvlLbl val="0"/>
      </c:catAx>
      <c:valAx>
        <c:axId val="223136704"/>
        <c:scaling>
          <c:orientation val="minMax"/>
        </c:scaling>
        <c:delete val="1"/>
        <c:axPos val="b"/>
        <c:numFmt formatCode="0" sourceLinked="1"/>
        <c:majorTickMark val="none"/>
        <c:minorTickMark val="none"/>
        <c:tickLblPos val="nextTo"/>
        <c:crossAx val="223136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Room Dashboard by DHAWLE.xlsx]Pivot report!PivotTable4</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bg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909420289855072E-2"/>
          <c:y val="5.4012345679012343E-2"/>
          <c:w val="0.9501811594202898"/>
          <c:h val="0.84568934091571901"/>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bg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report'!$E$5:$E$36</c:f>
              <c:numCache>
                <c:formatCode>General</c:formatCode>
                <c:ptCount val="31"/>
                <c:pt idx="0">
                  <c:v>32</c:v>
                </c:pt>
                <c:pt idx="1">
                  <c:v>28</c:v>
                </c:pt>
                <c:pt idx="2">
                  <c:v>28</c:v>
                </c:pt>
                <c:pt idx="3">
                  <c:v>25</c:v>
                </c:pt>
                <c:pt idx="4">
                  <c:v>23</c:v>
                </c:pt>
                <c:pt idx="5">
                  <c:v>22</c:v>
                </c:pt>
                <c:pt idx="6">
                  <c:v>33</c:v>
                </c:pt>
                <c:pt idx="7">
                  <c:v>31</c:v>
                </c:pt>
                <c:pt idx="8">
                  <c:v>35</c:v>
                </c:pt>
                <c:pt idx="9">
                  <c:v>30</c:v>
                </c:pt>
                <c:pt idx="10">
                  <c:v>32</c:v>
                </c:pt>
                <c:pt idx="11">
                  <c:v>39</c:v>
                </c:pt>
                <c:pt idx="12">
                  <c:v>39</c:v>
                </c:pt>
                <c:pt idx="13">
                  <c:v>30</c:v>
                </c:pt>
                <c:pt idx="14">
                  <c:v>29</c:v>
                </c:pt>
                <c:pt idx="15">
                  <c:v>34</c:v>
                </c:pt>
                <c:pt idx="16">
                  <c:v>30</c:v>
                </c:pt>
                <c:pt idx="17">
                  <c:v>28</c:v>
                </c:pt>
                <c:pt idx="18">
                  <c:v>33</c:v>
                </c:pt>
                <c:pt idx="19">
                  <c:v>30</c:v>
                </c:pt>
                <c:pt idx="20">
                  <c:v>31</c:v>
                </c:pt>
                <c:pt idx="21">
                  <c:v>27</c:v>
                </c:pt>
                <c:pt idx="22">
                  <c:v>32</c:v>
                </c:pt>
                <c:pt idx="23">
                  <c:v>29</c:v>
                </c:pt>
                <c:pt idx="24">
                  <c:v>29</c:v>
                </c:pt>
                <c:pt idx="25">
                  <c:v>29</c:v>
                </c:pt>
                <c:pt idx="26">
                  <c:v>30</c:v>
                </c:pt>
                <c:pt idx="27">
                  <c:v>32</c:v>
                </c:pt>
                <c:pt idx="28">
                  <c:v>39</c:v>
                </c:pt>
                <c:pt idx="29">
                  <c:v>32</c:v>
                </c:pt>
                <c:pt idx="30">
                  <c:v>31</c:v>
                </c:pt>
              </c:numCache>
            </c:numRef>
          </c:val>
          <c:extLst>
            <c:ext xmlns:c16="http://schemas.microsoft.com/office/drawing/2014/chart" uri="{C3380CC4-5D6E-409C-BE32-E72D297353CC}">
              <c16:uniqueId val="{00000005-A3CE-4F94-9727-81E241ABA04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31116848"/>
        <c:axId val="631120688"/>
      </c:areaChart>
      <c:catAx>
        <c:axId val="63111684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31120688"/>
        <c:crosses val="autoZero"/>
        <c:auto val="1"/>
        <c:lblAlgn val="ctr"/>
        <c:lblOffset val="100"/>
        <c:noMultiLvlLbl val="0"/>
      </c:catAx>
      <c:valAx>
        <c:axId val="631120688"/>
        <c:scaling>
          <c:orientation val="minMax"/>
        </c:scaling>
        <c:delete val="1"/>
        <c:axPos val="l"/>
        <c:numFmt formatCode="General" sourceLinked="1"/>
        <c:majorTickMark val="out"/>
        <c:minorTickMark val="none"/>
        <c:tickLblPos val="nextTo"/>
        <c:crossAx val="6311168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B11F99"/>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Room Dashboard by DHAWLE.xlsx]Pivot report!PivotTable5</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bg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988779087177851E-2"/>
          <c:y val="0"/>
          <c:w val="0.93547939896774668"/>
          <c:h val="0.97344995337121332"/>
        </c:manualLayout>
      </c:layout>
      <c:areaChart>
        <c:grouping val="standard"/>
        <c:varyColors val="0"/>
        <c:ser>
          <c:idx val="0"/>
          <c:order val="0"/>
          <c:tx>
            <c:strRef>
              <c:f>'Pivot report'!$L$4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bg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report'!$K$5:$K$36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report'!$L$5:$L$36</c:f>
              <c:numCache>
                <c:formatCode>0.00</c:formatCode>
                <c:ptCount val="31"/>
                <c:pt idx="0">
                  <c:v>37.53125</c:v>
                </c:pt>
                <c:pt idx="1">
                  <c:v>31.357142857142858</c:v>
                </c:pt>
                <c:pt idx="2">
                  <c:v>35.285714285714285</c:v>
                </c:pt>
                <c:pt idx="3">
                  <c:v>34</c:v>
                </c:pt>
                <c:pt idx="4">
                  <c:v>28.391304347826086</c:v>
                </c:pt>
                <c:pt idx="5">
                  <c:v>36.545454545454547</c:v>
                </c:pt>
                <c:pt idx="6">
                  <c:v>33.939393939393938</c:v>
                </c:pt>
                <c:pt idx="7">
                  <c:v>38.516129032258064</c:v>
                </c:pt>
                <c:pt idx="8">
                  <c:v>34.74285714285714</c:v>
                </c:pt>
                <c:pt idx="9">
                  <c:v>34.5</c:v>
                </c:pt>
                <c:pt idx="10">
                  <c:v>31.65625</c:v>
                </c:pt>
                <c:pt idx="11">
                  <c:v>37.384615384615387</c:v>
                </c:pt>
                <c:pt idx="12">
                  <c:v>36.205128205128204</c:v>
                </c:pt>
                <c:pt idx="13">
                  <c:v>35.6</c:v>
                </c:pt>
                <c:pt idx="14">
                  <c:v>31.068965517241381</c:v>
                </c:pt>
                <c:pt idx="15">
                  <c:v>33</c:v>
                </c:pt>
                <c:pt idx="16">
                  <c:v>36.233333333333334</c:v>
                </c:pt>
                <c:pt idx="17">
                  <c:v>37.142857142857146</c:v>
                </c:pt>
                <c:pt idx="18">
                  <c:v>34.666666666666664</c:v>
                </c:pt>
                <c:pt idx="19">
                  <c:v>36.033333333333331</c:v>
                </c:pt>
                <c:pt idx="20">
                  <c:v>33.838709677419352</c:v>
                </c:pt>
                <c:pt idx="21">
                  <c:v>34.592592592592595</c:v>
                </c:pt>
                <c:pt idx="22">
                  <c:v>34.4375</c:v>
                </c:pt>
                <c:pt idx="23">
                  <c:v>36.172413793103445</c:v>
                </c:pt>
                <c:pt idx="24">
                  <c:v>34.758620689655174</c:v>
                </c:pt>
                <c:pt idx="25">
                  <c:v>37.241379310344826</c:v>
                </c:pt>
                <c:pt idx="26">
                  <c:v>33.9</c:v>
                </c:pt>
                <c:pt idx="27">
                  <c:v>35.4375</c:v>
                </c:pt>
                <c:pt idx="28">
                  <c:v>36.820512820512818</c:v>
                </c:pt>
                <c:pt idx="29">
                  <c:v>31.3125</c:v>
                </c:pt>
                <c:pt idx="30">
                  <c:v>39.064516129032256</c:v>
                </c:pt>
              </c:numCache>
            </c:numRef>
          </c:val>
          <c:extLst>
            <c:ext xmlns:c16="http://schemas.microsoft.com/office/drawing/2014/chart" uri="{C3380CC4-5D6E-409C-BE32-E72D297353CC}">
              <c16:uniqueId val="{00000004-358E-498D-99F0-F769487336B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39527104"/>
        <c:axId val="339526624"/>
      </c:areaChart>
      <c:catAx>
        <c:axId val="33952710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39526624"/>
        <c:crosses val="autoZero"/>
        <c:auto val="1"/>
        <c:lblAlgn val="ctr"/>
        <c:lblOffset val="100"/>
        <c:noMultiLvlLbl val="0"/>
      </c:catAx>
      <c:valAx>
        <c:axId val="339526624"/>
        <c:scaling>
          <c:orientation val="minMax"/>
        </c:scaling>
        <c:delete val="1"/>
        <c:axPos val="l"/>
        <c:numFmt formatCode="0.00" sourceLinked="1"/>
        <c:majorTickMark val="out"/>
        <c:minorTickMark val="none"/>
        <c:tickLblPos val="nextTo"/>
        <c:crossAx val="3395271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B11F99"/>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Room Dashboard by DHAWLE.xlsx]Pivot report!PivotTable6</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bg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report'!$P$4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bg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report'!$O$5:$O$36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report'!$P$5:$P$36</c:f>
              <c:numCache>
                <c:formatCode>0.00</c:formatCode>
                <c:ptCount val="31"/>
                <c:pt idx="0">
                  <c:v>3.7</c:v>
                </c:pt>
                <c:pt idx="1">
                  <c:v>5.8</c:v>
                </c:pt>
                <c:pt idx="2">
                  <c:v>4</c:v>
                </c:pt>
                <c:pt idx="3">
                  <c:v>2</c:v>
                </c:pt>
                <c:pt idx="4">
                  <c:v>6</c:v>
                </c:pt>
                <c:pt idx="5">
                  <c:v>5</c:v>
                </c:pt>
                <c:pt idx="6">
                  <c:v>5.1111111111111107</c:v>
                </c:pt>
                <c:pt idx="7">
                  <c:v>3.8571428571428572</c:v>
                </c:pt>
                <c:pt idx="8">
                  <c:v>6.5714285714285712</c:v>
                </c:pt>
                <c:pt idx="9">
                  <c:v>5.2857142857142856</c:v>
                </c:pt>
                <c:pt idx="10">
                  <c:v>5.5</c:v>
                </c:pt>
                <c:pt idx="11">
                  <c:v>4.8181818181818183</c:v>
                </c:pt>
                <c:pt idx="12">
                  <c:v>5</c:v>
                </c:pt>
                <c:pt idx="13">
                  <c:v>3.2222222222222223</c:v>
                </c:pt>
                <c:pt idx="14">
                  <c:v>6.333333333333333</c:v>
                </c:pt>
                <c:pt idx="15">
                  <c:v>3.8</c:v>
                </c:pt>
                <c:pt idx="16">
                  <c:v>3.1111111111111112</c:v>
                </c:pt>
                <c:pt idx="17">
                  <c:v>2.8333333333333335</c:v>
                </c:pt>
                <c:pt idx="18">
                  <c:v>6.625</c:v>
                </c:pt>
                <c:pt idx="19">
                  <c:v>3.5</c:v>
                </c:pt>
                <c:pt idx="20">
                  <c:v>5.166666666666667</c:v>
                </c:pt>
                <c:pt idx="21">
                  <c:v>5.333333333333333</c:v>
                </c:pt>
                <c:pt idx="22">
                  <c:v>4.875</c:v>
                </c:pt>
                <c:pt idx="23">
                  <c:v>4.5</c:v>
                </c:pt>
                <c:pt idx="24">
                  <c:v>4.625</c:v>
                </c:pt>
                <c:pt idx="25">
                  <c:v>5</c:v>
                </c:pt>
                <c:pt idx="26">
                  <c:v>6.8181818181818183</c:v>
                </c:pt>
                <c:pt idx="27">
                  <c:v>6.375</c:v>
                </c:pt>
                <c:pt idx="28">
                  <c:v>4.615384615384615</c:v>
                </c:pt>
                <c:pt idx="29">
                  <c:v>5.5454545454545459</c:v>
                </c:pt>
                <c:pt idx="30">
                  <c:v>6.9090909090909092</c:v>
                </c:pt>
              </c:numCache>
            </c:numRef>
          </c:val>
          <c:extLst>
            <c:ext xmlns:c16="http://schemas.microsoft.com/office/drawing/2014/chart" uri="{C3380CC4-5D6E-409C-BE32-E72D297353CC}">
              <c16:uniqueId val="{00000004-B80E-42F7-8A4E-85F06E7981C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51314272"/>
        <c:axId val="451324832"/>
      </c:areaChart>
      <c:catAx>
        <c:axId val="451314272"/>
        <c:scaling>
          <c:orientation val="minMax"/>
        </c:scaling>
        <c:delete val="0"/>
        <c:axPos val="b"/>
        <c:numFmt formatCode="General" sourceLinked="1"/>
        <c:majorTickMark val="none"/>
        <c:minorTickMark val="none"/>
        <c:tickLblPos val="nextTo"/>
        <c:spPr>
          <a:noFill/>
          <a:ln w="9525" cap="flat" cmpd="sng" algn="ctr">
            <a:solidFill>
              <a:schemeClr val="bg1">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51324832"/>
        <c:crosses val="autoZero"/>
        <c:auto val="1"/>
        <c:lblAlgn val="ctr"/>
        <c:lblOffset val="100"/>
        <c:noMultiLvlLbl val="0"/>
      </c:catAx>
      <c:valAx>
        <c:axId val="451324832"/>
        <c:scaling>
          <c:orientation val="minMax"/>
        </c:scaling>
        <c:delete val="1"/>
        <c:axPos val="l"/>
        <c:numFmt formatCode="0.00" sourceLinked="1"/>
        <c:majorTickMark val="out"/>
        <c:minorTickMark val="none"/>
        <c:tickLblPos val="nextTo"/>
        <c:crossAx val="451314272"/>
        <c:crosses val="autoZero"/>
        <c:crossBetween val="midCat"/>
      </c:valAx>
      <c:spPr>
        <a:solidFill>
          <a:srgbClr val="B11F99"/>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B11F99"/>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Average Wait Time Daily Trend'!A1"/><Relationship Id="rId13" Type="http://schemas.openxmlformats.org/officeDocument/2006/relationships/chart" Target="../charts/chart5.xml"/><Relationship Id="rId3" Type="http://schemas.openxmlformats.org/officeDocument/2006/relationships/image" Target="../media/image3.svg"/><Relationship Id="rId7" Type="http://schemas.openxmlformats.org/officeDocument/2006/relationships/chart" Target="../charts/chart2.xml"/><Relationship Id="rId12" Type="http://schemas.openxmlformats.org/officeDocument/2006/relationships/image" Target="../media/image6.emf"/><Relationship Id="rId2" Type="http://schemas.openxmlformats.org/officeDocument/2006/relationships/image" Target="../media/image2.pn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hyperlink" Target="#'Daily ER No of Patient'!A1"/><Relationship Id="rId11" Type="http://schemas.openxmlformats.org/officeDocument/2006/relationships/chart" Target="../charts/chart4.xml"/><Relationship Id="rId5" Type="http://schemas.openxmlformats.org/officeDocument/2006/relationships/image" Target="../media/image5.jpeg"/><Relationship Id="rId15" Type="http://schemas.openxmlformats.org/officeDocument/2006/relationships/chart" Target="../charts/chart7.xml"/><Relationship Id="rId10" Type="http://schemas.openxmlformats.org/officeDocument/2006/relationships/hyperlink" Target="#'Satisfaction score daily trend'!A1"/><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9.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editAs="oneCell">
    <xdr:from>
      <xdr:col>6</xdr:col>
      <xdr:colOff>541020</xdr:colOff>
      <xdr:row>3</xdr:row>
      <xdr:rowOff>7620</xdr:rowOff>
    </xdr:from>
    <xdr:to>
      <xdr:col>9</xdr:col>
      <xdr:colOff>411480</xdr:colOff>
      <xdr:row>22</xdr:row>
      <xdr:rowOff>121920</xdr:rowOff>
    </xdr:to>
    <mc:AlternateContent xmlns:mc="http://schemas.openxmlformats.org/markup-compatibility/2006" xmlns:a14="http://schemas.microsoft.com/office/drawing/2010/main">
      <mc:Choice Requires="a14">
        <xdr:graphicFrame macro="">
          <xdr:nvGraphicFramePr>
            <xdr:cNvPr id="3" name="Date (Month)">
              <a:extLst>
                <a:ext uri="{FF2B5EF4-FFF2-40B4-BE49-F238E27FC236}">
                  <a16:creationId xmlns:a16="http://schemas.microsoft.com/office/drawing/2014/main" id="{D3D1B690-885A-D4FA-77C0-9E57C1FAB21C}"/>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5600700" y="556260"/>
              <a:ext cx="1699260" cy="3589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746760</xdr:colOff>
      <xdr:row>10</xdr:row>
      <xdr:rowOff>92609</xdr:rowOff>
    </xdr:from>
    <xdr:to>
      <xdr:col>20</xdr:col>
      <xdr:colOff>2331720</xdr:colOff>
      <xdr:row>12</xdr:row>
      <xdr:rowOff>161190</xdr:rowOff>
    </xdr:to>
    <xdr:graphicFrame macro="">
      <xdr:nvGraphicFramePr>
        <xdr:cNvPr id="7" name="Chart 6">
          <a:extLst>
            <a:ext uri="{FF2B5EF4-FFF2-40B4-BE49-F238E27FC236}">
              <a16:creationId xmlns:a16="http://schemas.microsoft.com/office/drawing/2014/main" id="{6D8DB211-877E-1555-01A4-ECE09D46F6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480060</xdr:colOff>
      <xdr:row>23</xdr:row>
      <xdr:rowOff>68581</xdr:rowOff>
    </xdr:from>
    <xdr:to>
      <xdr:col>9</xdr:col>
      <xdr:colOff>480060</xdr:colOff>
      <xdr:row>29</xdr:row>
      <xdr:rowOff>30481</xdr:rowOff>
    </xdr:to>
    <mc:AlternateContent xmlns:mc="http://schemas.openxmlformats.org/markup-compatibility/2006" xmlns:a14="http://schemas.microsoft.com/office/drawing/2010/main">
      <mc:Choice Requires="a14">
        <xdr:graphicFrame macro="">
          <xdr:nvGraphicFramePr>
            <xdr:cNvPr id="14" name="Date (Year)">
              <a:extLst>
                <a:ext uri="{FF2B5EF4-FFF2-40B4-BE49-F238E27FC236}">
                  <a16:creationId xmlns:a16="http://schemas.microsoft.com/office/drawing/2014/main" id="{012DE5AC-FB38-AF60-F158-A3BA62AE37F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539740" y="4274821"/>
              <a:ext cx="1828800" cy="1059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68580</xdr:colOff>
      <xdr:row>1</xdr:row>
      <xdr:rowOff>68580</xdr:rowOff>
    </xdr:from>
    <xdr:to>
      <xdr:col>5</xdr:col>
      <xdr:colOff>45720</xdr:colOff>
      <xdr:row>4</xdr:row>
      <xdr:rowOff>22859</xdr:rowOff>
    </xdr:to>
    <xdr:sp macro="" textlink="">
      <xdr:nvSpPr>
        <xdr:cNvPr id="2" name="Rectangle: Rounded Corners 1">
          <a:extLst>
            <a:ext uri="{FF2B5EF4-FFF2-40B4-BE49-F238E27FC236}">
              <a16:creationId xmlns:a16="http://schemas.microsoft.com/office/drawing/2014/main" id="{5501B221-CA38-0CBF-C0D0-F6CBA63D7B19}"/>
            </a:ext>
          </a:extLst>
        </xdr:cNvPr>
        <xdr:cNvSpPr/>
      </xdr:nvSpPr>
      <xdr:spPr>
        <a:xfrm>
          <a:off x="68580" y="68580"/>
          <a:ext cx="3025140" cy="5029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83368</xdr:colOff>
      <xdr:row>1</xdr:row>
      <xdr:rowOff>76200</xdr:rowOff>
    </xdr:from>
    <xdr:to>
      <xdr:col>7</xdr:col>
      <xdr:colOff>22412</xdr:colOff>
      <xdr:row>4</xdr:row>
      <xdr:rowOff>15240</xdr:rowOff>
    </xdr:to>
    <xdr:sp macro="" textlink="">
      <xdr:nvSpPr>
        <xdr:cNvPr id="3" name="Rectangle: Rounded Corners 2">
          <a:extLst>
            <a:ext uri="{FF2B5EF4-FFF2-40B4-BE49-F238E27FC236}">
              <a16:creationId xmlns:a16="http://schemas.microsoft.com/office/drawing/2014/main" id="{70DC73A7-572D-05E7-74E1-B92EC2B7048D}"/>
            </a:ext>
          </a:extLst>
        </xdr:cNvPr>
        <xdr:cNvSpPr/>
      </xdr:nvSpPr>
      <xdr:spPr>
        <a:xfrm>
          <a:off x="3131368" y="76200"/>
          <a:ext cx="1158244" cy="49036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80009</xdr:colOff>
      <xdr:row>4</xdr:row>
      <xdr:rowOff>67686</xdr:rowOff>
    </xdr:from>
    <xdr:to>
      <xdr:col>1</xdr:col>
      <xdr:colOff>188258</xdr:colOff>
      <xdr:row>19</xdr:row>
      <xdr:rowOff>25403</xdr:rowOff>
    </xdr:to>
    <xdr:sp macro="" textlink="">
      <xdr:nvSpPr>
        <xdr:cNvPr id="4" name="Rectangle: Rounded Corners 3">
          <a:extLst>
            <a:ext uri="{FF2B5EF4-FFF2-40B4-BE49-F238E27FC236}">
              <a16:creationId xmlns:a16="http://schemas.microsoft.com/office/drawing/2014/main" id="{AF21ADD2-AF28-FB17-51F2-76716D8C72A0}"/>
            </a:ext>
          </a:extLst>
        </xdr:cNvPr>
        <xdr:cNvSpPr/>
      </xdr:nvSpPr>
      <xdr:spPr>
        <a:xfrm rot="5400000">
          <a:off x="-911525" y="1607860"/>
          <a:ext cx="2700917" cy="71784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218289</xdr:colOff>
      <xdr:row>11</xdr:row>
      <xdr:rowOff>49306</xdr:rowOff>
    </xdr:from>
    <xdr:to>
      <xdr:col>7</xdr:col>
      <xdr:colOff>26894</xdr:colOff>
      <xdr:row>19</xdr:row>
      <xdr:rowOff>30480</xdr:rowOff>
    </xdr:to>
    <xdr:sp macro="" textlink="">
      <xdr:nvSpPr>
        <xdr:cNvPr id="5" name="Rectangle: Rounded Corners 4">
          <a:extLst>
            <a:ext uri="{FF2B5EF4-FFF2-40B4-BE49-F238E27FC236}">
              <a16:creationId xmlns:a16="http://schemas.microsoft.com/office/drawing/2014/main" id="{159FF43A-2EE2-E7A3-A6B9-6233001DABF2}"/>
            </a:ext>
          </a:extLst>
        </xdr:cNvPr>
        <xdr:cNvSpPr/>
      </xdr:nvSpPr>
      <xdr:spPr>
        <a:xfrm>
          <a:off x="827889" y="1878106"/>
          <a:ext cx="3466205" cy="144421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219861</xdr:colOff>
      <xdr:row>4</xdr:row>
      <xdr:rowOff>65968</xdr:rowOff>
    </xdr:from>
    <xdr:to>
      <xdr:col>3</xdr:col>
      <xdr:colOff>129990</xdr:colOff>
      <xdr:row>8</xdr:row>
      <xdr:rowOff>2</xdr:rowOff>
    </xdr:to>
    <xdr:sp macro="" textlink="">
      <xdr:nvSpPr>
        <xdr:cNvPr id="6" name="Rectangle: Rounded Corners 5">
          <a:extLst>
            <a:ext uri="{FF2B5EF4-FFF2-40B4-BE49-F238E27FC236}">
              <a16:creationId xmlns:a16="http://schemas.microsoft.com/office/drawing/2014/main" id="{390E20D0-0396-FAA8-CFF9-A1B2045D9768}"/>
            </a:ext>
          </a:extLst>
        </xdr:cNvPr>
        <xdr:cNvSpPr/>
      </xdr:nvSpPr>
      <xdr:spPr>
        <a:xfrm>
          <a:off x="829461" y="617297"/>
          <a:ext cx="1129329" cy="6691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58494</xdr:colOff>
      <xdr:row>1</xdr:row>
      <xdr:rowOff>74931</xdr:rowOff>
    </xdr:from>
    <xdr:to>
      <xdr:col>9</xdr:col>
      <xdr:colOff>246186</xdr:colOff>
      <xdr:row>8</xdr:row>
      <xdr:rowOff>158261</xdr:rowOff>
    </xdr:to>
    <xdr:sp macro="" textlink="">
      <xdr:nvSpPr>
        <xdr:cNvPr id="7" name="Rectangle: Rounded Corners 6">
          <a:extLst>
            <a:ext uri="{FF2B5EF4-FFF2-40B4-BE49-F238E27FC236}">
              <a16:creationId xmlns:a16="http://schemas.microsoft.com/office/drawing/2014/main" id="{88A7BC89-6EFD-BE3F-3E40-B96A9BC320D3}"/>
            </a:ext>
          </a:extLst>
        </xdr:cNvPr>
        <xdr:cNvSpPr/>
      </xdr:nvSpPr>
      <xdr:spPr>
        <a:xfrm>
          <a:off x="4325694" y="74931"/>
          <a:ext cx="1406892" cy="1355284"/>
        </a:xfrm>
        <a:prstGeom prst="roundRect">
          <a:avLst/>
        </a:prstGeom>
        <a:solidFill>
          <a:schemeClr val="bg1"/>
        </a:solidFill>
        <a:ln>
          <a:no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71937</xdr:colOff>
      <xdr:row>9</xdr:row>
      <xdr:rowOff>35169</xdr:rowOff>
    </xdr:from>
    <xdr:to>
      <xdr:col>11</xdr:col>
      <xdr:colOff>470646</xdr:colOff>
      <xdr:row>18</xdr:row>
      <xdr:rowOff>172721</xdr:rowOff>
    </xdr:to>
    <xdr:sp macro="" textlink="">
      <xdr:nvSpPr>
        <xdr:cNvPr id="10" name="Rectangle: Rounded Corners 9">
          <a:extLst>
            <a:ext uri="{FF2B5EF4-FFF2-40B4-BE49-F238E27FC236}">
              <a16:creationId xmlns:a16="http://schemas.microsoft.com/office/drawing/2014/main" id="{BDCF61BD-CD9A-EFD0-86D4-98B19F4E3A7E}"/>
            </a:ext>
          </a:extLst>
        </xdr:cNvPr>
        <xdr:cNvSpPr/>
      </xdr:nvSpPr>
      <xdr:spPr>
        <a:xfrm>
          <a:off x="4339137" y="1488831"/>
          <a:ext cx="2837109" cy="1772921"/>
        </a:xfrm>
        <a:prstGeom prst="roundRect">
          <a:avLst/>
        </a:prstGeom>
        <a:solidFill>
          <a:schemeClr val="bg1"/>
        </a:solidFill>
        <a:ln>
          <a:no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219635</xdr:colOff>
      <xdr:row>8</xdr:row>
      <xdr:rowOff>30107</xdr:rowOff>
    </xdr:from>
    <xdr:to>
      <xdr:col>7</xdr:col>
      <xdr:colOff>22412</xdr:colOff>
      <xdr:row>11</xdr:row>
      <xdr:rowOff>0</xdr:rowOff>
    </xdr:to>
    <xdr:sp macro="" textlink="">
      <xdr:nvSpPr>
        <xdr:cNvPr id="13" name="Rectangle: Rounded Corners 12">
          <a:extLst>
            <a:ext uri="{FF2B5EF4-FFF2-40B4-BE49-F238E27FC236}">
              <a16:creationId xmlns:a16="http://schemas.microsoft.com/office/drawing/2014/main" id="{643455D0-C9B7-E98E-FC65-6F2BE5C824CC}"/>
            </a:ext>
          </a:extLst>
        </xdr:cNvPr>
        <xdr:cNvSpPr/>
      </xdr:nvSpPr>
      <xdr:spPr>
        <a:xfrm>
          <a:off x="829235" y="1316542"/>
          <a:ext cx="3460377" cy="52122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287094</xdr:colOff>
      <xdr:row>1</xdr:row>
      <xdr:rowOff>74931</xdr:rowOff>
    </xdr:from>
    <xdr:to>
      <xdr:col>11</xdr:col>
      <xdr:colOff>439616</xdr:colOff>
      <xdr:row>8</xdr:row>
      <xdr:rowOff>164123</xdr:rowOff>
    </xdr:to>
    <xdr:sp macro="" textlink="">
      <xdr:nvSpPr>
        <xdr:cNvPr id="15" name="Rectangle: Rounded Corners 14">
          <a:extLst>
            <a:ext uri="{FF2B5EF4-FFF2-40B4-BE49-F238E27FC236}">
              <a16:creationId xmlns:a16="http://schemas.microsoft.com/office/drawing/2014/main" id="{5BAE3ECD-C097-3682-8623-D6F8E6DB840B}"/>
            </a:ext>
          </a:extLst>
        </xdr:cNvPr>
        <xdr:cNvSpPr/>
      </xdr:nvSpPr>
      <xdr:spPr>
        <a:xfrm>
          <a:off x="5773494" y="74931"/>
          <a:ext cx="1371722" cy="1361146"/>
        </a:xfrm>
        <a:prstGeom prst="roundRect">
          <a:avLst/>
        </a:prstGeom>
        <a:solidFill>
          <a:schemeClr val="bg1"/>
        </a:solidFill>
        <a:ln>
          <a:no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161585</xdr:colOff>
      <xdr:row>4</xdr:row>
      <xdr:rowOff>65968</xdr:rowOff>
    </xdr:from>
    <xdr:to>
      <xdr:col>5</xdr:col>
      <xdr:colOff>71714</xdr:colOff>
      <xdr:row>8</xdr:row>
      <xdr:rowOff>2</xdr:rowOff>
    </xdr:to>
    <xdr:sp macro="" textlink="">
      <xdr:nvSpPr>
        <xdr:cNvPr id="16" name="Rectangle: Rounded Corners 15">
          <a:extLst>
            <a:ext uri="{FF2B5EF4-FFF2-40B4-BE49-F238E27FC236}">
              <a16:creationId xmlns:a16="http://schemas.microsoft.com/office/drawing/2014/main" id="{E9DE7A05-F648-91D8-BC39-A030EF716BF5}"/>
            </a:ext>
          </a:extLst>
        </xdr:cNvPr>
        <xdr:cNvSpPr/>
      </xdr:nvSpPr>
      <xdr:spPr>
        <a:xfrm>
          <a:off x="1990385" y="617297"/>
          <a:ext cx="1129329" cy="6691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103317</xdr:colOff>
      <xdr:row>4</xdr:row>
      <xdr:rowOff>65968</xdr:rowOff>
    </xdr:from>
    <xdr:to>
      <xdr:col>7</xdr:col>
      <xdr:colOff>13446</xdr:colOff>
      <xdr:row>8</xdr:row>
      <xdr:rowOff>2</xdr:rowOff>
    </xdr:to>
    <xdr:sp macro="" textlink="">
      <xdr:nvSpPr>
        <xdr:cNvPr id="17" name="Rectangle: Rounded Corners 16">
          <a:extLst>
            <a:ext uri="{FF2B5EF4-FFF2-40B4-BE49-F238E27FC236}">
              <a16:creationId xmlns:a16="http://schemas.microsoft.com/office/drawing/2014/main" id="{9F01A014-F7B4-F206-7D0C-B32C6D2BA6AC}"/>
            </a:ext>
          </a:extLst>
        </xdr:cNvPr>
        <xdr:cNvSpPr/>
      </xdr:nvSpPr>
      <xdr:spPr>
        <a:xfrm>
          <a:off x="3151317" y="617297"/>
          <a:ext cx="1129329" cy="6691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596154</xdr:colOff>
      <xdr:row>1</xdr:row>
      <xdr:rowOff>116545</xdr:rowOff>
    </xdr:from>
    <xdr:to>
      <xdr:col>5</xdr:col>
      <xdr:colOff>53786</xdr:colOff>
      <xdr:row>2</xdr:row>
      <xdr:rowOff>129992</xdr:rowOff>
    </xdr:to>
    <xdr:sp macro="" textlink="">
      <xdr:nvSpPr>
        <xdr:cNvPr id="20" name="TextBox 19">
          <a:extLst>
            <a:ext uri="{FF2B5EF4-FFF2-40B4-BE49-F238E27FC236}">
              <a16:creationId xmlns:a16="http://schemas.microsoft.com/office/drawing/2014/main" id="{8151ACFD-FB4F-4976-7EDB-EAC6C16B2EAB}"/>
            </a:ext>
          </a:extLst>
        </xdr:cNvPr>
        <xdr:cNvSpPr txBox="1"/>
      </xdr:nvSpPr>
      <xdr:spPr>
        <a:xfrm>
          <a:off x="596154" y="116545"/>
          <a:ext cx="2505632" cy="1972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Aptos Narrow" panose="020B0004020202020204" pitchFamily="34" charset="0"/>
            </a:rPr>
            <a:t>Hospital</a:t>
          </a:r>
          <a:r>
            <a:rPr lang="en-IN" sz="1200" b="0" baseline="0">
              <a:latin typeface="Aptos Narrow" panose="020B0004020202020204" pitchFamily="34" charset="0"/>
            </a:rPr>
            <a:t> Emergency Room Dashboard</a:t>
          </a:r>
          <a:endParaRPr lang="en-IN" sz="1200" b="0">
            <a:latin typeface="Aptos Narrow" panose="020B0004020202020204" pitchFamily="34" charset="0"/>
          </a:endParaRPr>
        </a:p>
      </xdr:txBody>
    </xdr:sp>
    <xdr:clientData/>
  </xdr:twoCellAnchor>
  <xdr:twoCellAnchor>
    <xdr:from>
      <xdr:col>2</xdr:col>
      <xdr:colOff>23941</xdr:colOff>
      <xdr:row>2</xdr:row>
      <xdr:rowOff>121336</xdr:rowOff>
    </xdr:from>
    <xdr:to>
      <xdr:col>3</xdr:col>
      <xdr:colOff>501987</xdr:colOff>
      <xdr:row>4</xdr:row>
      <xdr:rowOff>5080</xdr:rowOff>
    </xdr:to>
    <xdr:sp macro="" textlink="">
      <xdr:nvSpPr>
        <xdr:cNvPr id="21" name="TextBox 20">
          <a:extLst>
            <a:ext uri="{FF2B5EF4-FFF2-40B4-BE49-F238E27FC236}">
              <a16:creationId xmlns:a16="http://schemas.microsoft.com/office/drawing/2014/main" id="{49599BAD-13B6-5BCA-20E5-9A556B735314}"/>
            </a:ext>
          </a:extLst>
        </xdr:cNvPr>
        <xdr:cNvSpPr txBox="1"/>
      </xdr:nvSpPr>
      <xdr:spPr>
        <a:xfrm>
          <a:off x="1243141" y="304216"/>
          <a:ext cx="1087646" cy="249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50"/>
            <a:t>Monthly</a:t>
          </a:r>
          <a:r>
            <a:rPr lang="en-IN" sz="850" baseline="0"/>
            <a:t> Report</a:t>
          </a:r>
          <a:endParaRPr lang="en-IN" sz="850"/>
        </a:p>
      </xdr:txBody>
    </xdr:sp>
    <xdr:clientData/>
  </xdr:twoCellAnchor>
  <xdr:twoCellAnchor editAs="oneCell">
    <xdr:from>
      <xdr:col>0</xdr:col>
      <xdr:colOff>67235</xdr:colOff>
      <xdr:row>1</xdr:row>
      <xdr:rowOff>89647</xdr:rowOff>
    </xdr:from>
    <xdr:to>
      <xdr:col>1</xdr:col>
      <xdr:colOff>62753</xdr:colOff>
      <xdr:row>3</xdr:row>
      <xdr:rowOff>161364</xdr:rowOff>
    </xdr:to>
    <xdr:pic>
      <xdr:nvPicPr>
        <xdr:cNvPr id="23" name="Picture 22">
          <a:extLst>
            <a:ext uri="{FF2B5EF4-FFF2-40B4-BE49-F238E27FC236}">
              <a16:creationId xmlns:a16="http://schemas.microsoft.com/office/drawing/2014/main" id="{37797E5E-EC21-2A8F-A3FF-FA4FA7C913E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829" t="10317" r="20683" b="11905"/>
        <a:stretch>
          <a:fillRect/>
        </a:stretch>
      </xdr:blipFill>
      <xdr:spPr>
        <a:xfrm>
          <a:off x="67235" y="89647"/>
          <a:ext cx="605118" cy="439270"/>
        </a:xfrm>
        <a:prstGeom prst="rect">
          <a:avLst/>
        </a:prstGeom>
      </xdr:spPr>
    </xdr:pic>
    <xdr:clientData/>
  </xdr:twoCellAnchor>
  <xdr:twoCellAnchor editAs="oneCell">
    <xdr:from>
      <xdr:col>0</xdr:col>
      <xdr:colOff>117232</xdr:colOff>
      <xdr:row>5</xdr:row>
      <xdr:rowOff>82067</xdr:rowOff>
    </xdr:from>
    <xdr:to>
      <xdr:col>1</xdr:col>
      <xdr:colOff>134816</xdr:colOff>
      <xdr:row>18</xdr:row>
      <xdr:rowOff>35169</xdr:rowOff>
    </xdr:to>
    <mc:AlternateContent xmlns:mc="http://schemas.openxmlformats.org/markup-compatibility/2006" xmlns:a14="http://schemas.microsoft.com/office/drawing/2010/main">
      <mc:Choice Requires="a14">
        <xdr:graphicFrame macro="">
          <xdr:nvGraphicFramePr>
            <xdr:cNvPr id="31" name="Date (Month) 1">
              <a:extLst>
                <a:ext uri="{FF2B5EF4-FFF2-40B4-BE49-F238E27FC236}">
                  <a16:creationId xmlns:a16="http://schemas.microsoft.com/office/drawing/2014/main" id="{364737C4-8CBC-4AB4-8999-B579BDF12EE7}"/>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17232" y="812317"/>
              <a:ext cx="628772" cy="23264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224940</xdr:colOff>
      <xdr:row>5</xdr:row>
      <xdr:rowOff>66041</xdr:rowOff>
    </xdr:from>
    <xdr:to>
      <xdr:col>3</xdr:col>
      <xdr:colOff>121919</xdr:colOff>
      <xdr:row>6</xdr:row>
      <xdr:rowOff>40640</xdr:rowOff>
    </xdr:to>
    <xdr:sp macro="" textlink="">
      <xdr:nvSpPr>
        <xdr:cNvPr id="34" name="TextBox 33">
          <a:extLst>
            <a:ext uri="{FF2B5EF4-FFF2-40B4-BE49-F238E27FC236}">
              <a16:creationId xmlns:a16="http://schemas.microsoft.com/office/drawing/2014/main" id="{4D5640C7-2CE4-4044-9120-203847EC06C8}"/>
            </a:ext>
          </a:extLst>
        </xdr:cNvPr>
        <xdr:cNvSpPr txBox="1"/>
      </xdr:nvSpPr>
      <xdr:spPr>
        <a:xfrm>
          <a:off x="834540" y="797561"/>
          <a:ext cx="1116179" cy="157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50"/>
            <a:t>No.</a:t>
          </a:r>
          <a:r>
            <a:rPr lang="en-IN" sz="850" baseline="0"/>
            <a:t> of Patient</a:t>
          </a:r>
          <a:endParaRPr lang="en-IN" sz="850"/>
        </a:p>
      </xdr:txBody>
    </xdr:sp>
    <xdr:clientData/>
  </xdr:twoCellAnchor>
  <xdr:twoCellAnchor>
    <xdr:from>
      <xdr:col>1</xdr:col>
      <xdr:colOff>555141</xdr:colOff>
      <xdr:row>4</xdr:row>
      <xdr:rowOff>78817</xdr:rowOff>
    </xdr:from>
    <xdr:to>
      <xdr:col>2</xdr:col>
      <xdr:colOff>441960</xdr:colOff>
      <xdr:row>5</xdr:row>
      <xdr:rowOff>60960</xdr:rowOff>
    </xdr:to>
    <xdr:sp macro="" textlink="'Pivot report'!A5">
      <xdr:nvSpPr>
        <xdr:cNvPr id="36" name="TextBox 35">
          <a:extLst>
            <a:ext uri="{FF2B5EF4-FFF2-40B4-BE49-F238E27FC236}">
              <a16:creationId xmlns:a16="http://schemas.microsoft.com/office/drawing/2014/main" id="{72F80996-D3D5-4C2E-AEAF-3A8D98CB9A06}"/>
            </a:ext>
          </a:extLst>
        </xdr:cNvPr>
        <xdr:cNvSpPr txBox="1"/>
      </xdr:nvSpPr>
      <xdr:spPr>
        <a:xfrm>
          <a:off x="1164741" y="627457"/>
          <a:ext cx="496419" cy="1650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1BFB69-2D10-47E9-B293-16ED7F7CA7DD}" type="TxLink">
            <a:rPr lang="en-US" sz="1500" b="0" i="0" u="none" strike="noStrike">
              <a:solidFill>
                <a:srgbClr val="000000"/>
              </a:solidFill>
              <a:latin typeface="Calibri"/>
              <a:ea typeface="Calibri"/>
              <a:cs typeface="Calibri"/>
            </a:rPr>
            <a:pPr algn="ctr"/>
            <a:t>952</a:t>
          </a:fld>
          <a:endParaRPr lang="en-IN" sz="1500"/>
        </a:p>
      </xdr:txBody>
    </xdr:sp>
    <xdr:clientData/>
  </xdr:twoCellAnchor>
  <xdr:twoCellAnchor>
    <xdr:from>
      <xdr:col>3</xdr:col>
      <xdr:colOff>169060</xdr:colOff>
      <xdr:row>5</xdr:row>
      <xdr:rowOff>60961</xdr:rowOff>
    </xdr:from>
    <xdr:to>
      <xdr:col>5</xdr:col>
      <xdr:colOff>66039</xdr:colOff>
      <xdr:row>6</xdr:row>
      <xdr:rowOff>35560</xdr:rowOff>
    </xdr:to>
    <xdr:sp macro="" textlink="">
      <xdr:nvSpPr>
        <xdr:cNvPr id="38" name="TextBox 37">
          <a:extLst>
            <a:ext uri="{FF2B5EF4-FFF2-40B4-BE49-F238E27FC236}">
              <a16:creationId xmlns:a16="http://schemas.microsoft.com/office/drawing/2014/main" id="{387D6D48-DE43-7148-A2F0-0ADCF76CCD1F}"/>
            </a:ext>
          </a:extLst>
        </xdr:cNvPr>
        <xdr:cNvSpPr txBox="1"/>
      </xdr:nvSpPr>
      <xdr:spPr>
        <a:xfrm>
          <a:off x="1997860" y="792481"/>
          <a:ext cx="1116179" cy="157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50"/>
            <a:t>Average</a:t>
          </a:r>
          <a:r>
            <a:rPr lang="en-IN" sz="850" baseline="0"/>
            <a:t> Wait time</a:t>
          </a:r>
          <a:endParaRPr lang="en-IN" sz="850"/>
        </a:p>
      </xdr:txBody>
    </xdr:sp>
    <xdr:clientData/>
  </xdr:twoCellAnchor>
  <xdr:twoCellAnchor>
    <xdr:from>
      <xdr:col>3</xdr:col>
      <xdr:colOff>391160</xdr:colOff>
      <xdr:row>4</xdr:row>
      <xdr:rowOff>73737</xdr:rowOff>
    </xdr:from>
    <xdr:to>
      <xdr:col>4</xdr:col>
      <xdr:colOff>436880</xdr:colOff>
      <xdr:row>5</xdr:row>
      <xdr:rowOff>45720</xdr:rowOff>
    </xdr:to>
    <xdr:sp macro="" textlink="'Pivot report'!A9">
      <xdr:nvSpPr>
        <xdr:cNvPr id="39" name="TextBox 38">
          <a:extLst>
            <a:ext uri="{FF2B5EF4-FFF2-40B4-BE49-F238E27FC236}">
              <a16:creationId xmlns:a16="http://schemas.microsoft.com/office/drawing/2014/main" id="{76B8D899-700A-E2CD-19DE-979814ABA20C}"/>
            </a:ext>
          </a:extLst>
        </xdr:cNvPr>
        <xdr:cNvSpPr txBox="1"/>
      </xdr:nvSpPr>
      <xdr:spPr>
        <a:xfrm>
          <a:off x="2219960" y="622377"/>
          <a:ext cx="655320" cy="1548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8E7E25-FB1E-4531-B82E-37D360930895}" type="TxLink">
            <a:rPr lang="en-US" sz="1500" b="0" i="0" u="none" strike="noStrike">
              <a:solidFill>
                <a:srgbClr val="000000"/>
              </a:solidFill>
              <a:latin typeface="Calibri"/>
              <a:ea typeface="Calibri"/>
              <a:cs typeface="Calibri"/>
            </a:rPr>
            <a:pPr algn="ctr"/>
            <a:t>34.97</a:t>
          </a:fld>
          <a:endParaRPr lang="en-IN" sz="1500"/>
        </a:p>
      </xdr:txBody>
    </xdr:sp>
    <xdr:clientData/>
  </xdr:twoCellAnchor>
  <xdr:twoCellAnchor>
    <xdr:from>
      <xdr:col>5</xdr:col>
      <xdr:colOff>42060</xdr:colOff>
      <xdr:row>5</xdr:row>
      <xdr:rowOff>60960</xdr:rowOff>
    </xdr:from>
    <xdr:to>
      <xdr:col>7</xdr:col>
      <xdr:colOff>86360</xdr:colOff>
      <xdr:row>6</xdr:row>
      <xdr:rowOff>25400</xdr:rowOff>
    </xdr:to>
    <xdr:sp macro="" textlink="">
      <xdr:nvSpPr>
        <xdr:cNvPr id="40" name="TextBox 39">
          <a:extLst>
            <a:ext uri="{FF2B5EF4-FFF2-40B4-BE49-F238E27FC236}">
              <a16:creationId xmlns:a16="http://schemas.microsoft.com/office/drawing/2014/main" id="{2C033262-F2F6-A224-FA82-A5FAAFF40390}"/>
            </a:ext>
          </a:extLst>
        </xdr:cNvPr>
        <xdr:cNvSpPr txBox="1"/>
      </xdr:nvSpPr>
      <xdr:spPr>
        <a:xfrm>
          <a:off x="3090060" y="792480"/>
          <a:ext cx="1263500" cy="147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50"/>
            <a:t>Patient Satisfation</a:t>
          </a:r>
          <a:r>
            <a:rPr lang="en-IN" sz="850" baseline="0"/>
            <a:t> Score</a:t>
          </a:r>
          <a:endParaRPr lang="en-IN" sz="850"/>
        </a:p>
      </xdr:txBody>
    </xdr:sp>
    <xdr:clientData/>
  </xdr:twoCellAnchor>
  <xdr:twoCellAnchor>
    <xdr:from>
      <xdr:col>5</xdr:col>
      <xdr:colOff>340360</xdr:colOff>
      <xdr:row>4</xdr:row>
      <xdr:rowOff>73737</xdr:rowOff>
    </xdr:from>
    <xdr:to>
      <xdr:col>6</xdr:col>
      <xdr:colOff>360680</xdr:colOff>
      <xdr:row>5</xdr:row>
      <xdr:rowOff>71120</xdr:rowOff>
    </xdr:to>
    <xdr:sp macro="" textlink="'Pivot report'!A13">
      <xdr:nvSpPr>
        <xdr:cNvPr id="41" name="TextBox 40">
          <a:extLst>
            <a:ext uri="{FF2B5EF4-FFF2-40B4-BE49-F238E27FC236}">
              <a16:creationId xmlns:a16="http://schemas.microsoft.com/office/drawing/2014/main" id="{4238D004-29C3-5AD4-58DF-A863DF3547B5}"/>
            </a:ext>
          </a:extLst>
        </xdr:cNvPr>
        <xdr:cNvSpPr txBox="1"/>
      </xdr:nvSpPr>
      <xdr:spPr>
        <a:xfrm>
          <a:off x="3388360" y="622377"/>
          <a:ext cx="629920" cy="1802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5BC05-2908-42A3-AB3B-A3DD53AB4A6D}" type="TxLink">
            <a:rPr lang="en-US" sz="1500" b="0" i="0" u="none" strike="noStrike">
              <a:solidFill>
                <a:srgbClr val="000000"/>
              </a:solidFill>
              <a:latin typeface="Calibri"/>
              <a:ea typeface="Calibri"/>
              <a:cs typeface="Calibri"/>
            </a:rPr>
            <a:pPr algn="ctr"/>
            <a:t>4.88</a:t>
          </a:fld>
          <a:endParaRPr lang="en-IN" sz="1500"/>
        </a:p>
      </xdr:txBody>
    </xdr:sp>
    <xdr:clientData/>
  </xdr:twoCellAnchor>
  <xdr:twoCellAnchor editAs="oneCell">
    <xdr:from>
      <xdr:col>2</xdr:col>
      <xdr:colOff>335280</xdr:colOff>
      <xdr:row>4</xdr:row>
      <xdr:rowOff>45720</xdr:rowOff>
    </xdr:from>
    <xdr:to>
      <xdr:col>2</xdr:col>
      <xdr:colOff>568960</xdr:colOff>
      <xdr:row>5</xdr:row>
      <xdr:rowOff>96521</xdr:rowOff>
    </xdr:to>
    <xdr:pic>
      <xdr:nvPicPr>
        <xdr:cNvPr id="43" name="Graphic 42" descr="Male profile">
          <a:extLst>
            <a:ext uri="{FF2B5EF4-FFF2-40B4-BE49-F238E27FC236}">
              <a16:creationId xmlns:a16="http://schemas.microsoft.com/office/drawing/2014/main" id="{AD70791D-1C87-2A0D-22CB-21C7A448317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54480" y="594360"/>
          <a:ext cx="233680" cy="233680"/>
        </a:xfrm>
        <a:prstGeom prst="rect">
          <a:avLst/>
        </a:prstGeom>
      </xdr:spPr>
    </xdr:pic>
    <xdr:clientData/>
  </xdr:twoCellAnchor>
  <xdr:twoCellAnchor editAs="oneCell">
    <xdr:from>
      <xdr:col>4</xdr:col>
      <xdr:colOff>375920</xdr:colOff>
      <xdr:row>4</xdr:row>
      <xdr:rowOff>81280</xdr:rowOff>
    </xdr:from>
    <xdr:to>
      <xdr:col>4</xdr:col>
      <xdr:colOff>498378</xdr:colOff>
      <xdr:row>5</xdr:row>
      <xdr:rowOff>71121</xdr:rowOff>
    </xdr:to>
    <xdr:pic>
      <xdr:nvPicPr>
        <xdr:cNvPr id="47" name="Picture 46">
          <a:extLst>
            <a:ext uri="{FF2B5EF4-FFF2-40B4-BE49-F238E27FC236}">
              <a16:creationId xmlns:a16="http://schemas.microsoft.com/office/drawing/2014/main" id="{46A0B834-62A0-BD1F-14E8-2D0312E4E0DF}"/>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9854" t="6240" r="61436" b="10712"/>
        <a:stretch>
          <a:fillRect/>
        </a:stretch>
      </xdr:blipFill>
      <xdr:spPr>
        <a:xfrm>
          <a:off x="2814320" y="629920"/>
          <a:ext cx="122458" cy="172720"/>
        </a:xfrm>
        <a:prstGeom prst="rect">
          <a:avLst/>
        </a:prstGeom>
      </xdr:spPr>
    </xdr:pic>
    <xdr:clientData/>
  </xdr:twoCellAnchor>
  <xdr:twoCellAnchor editAs="oneCell">
    <xdr:from>
      <xdr:col>6</xdr:col>
      <xdr:colOff>264161</xdr:colOff>
      <xdr:row>4</xdr:row>
      <xdr:rowOff>66040</xdr:rowOff>
    </xdr:from>
    <xdr:to>
      <xdr:col>6</xdr:col>
      <xdr:colOff>467361</xdr:colOff>
      <xdr:row>5</xdr:row>
      <xdr:rowOff>72416</xdr:rowOff>
    </xdr:to>
    <xdr:pic>
      <xdr:nvPicPr>
        <xdr:cNvPr id="49" name="Picture 48">
          <a:extLst>
            <a:ext uri="{FF2B5EF4-FFF2-40B4-BE49-F238E27FC236}">
              <a16:creationId xmlns:a16="http://schemas.microsoft.com/office/drawing/2014/main" id="{2360C94B-9B9D-E92F-47D6-E5D83BE05A46}"/>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7274" t="20536" r="18495" b="19641"/>
        <a:stretch>
          <a:fillRect/>
        </a:stretch>
      </xdr:blipFill>
      <xdr:spPr>
        <a:xfrm>
          <a:off x="3921761" y="614680"/>
          <a:ext cx="203200" cy="189255"/>
        </a:xfrm>
        <a:prstGeom prst="rect">
          <a:avLst/>
        </a:prstGeom>
      </xdr:spPr>
    </xdr:pic>
    <xdr:clientData/>
  </xdr:twoCellAnchor>
  <xdr:twoCellAnchor>
    <xdr:from>
      <xdr:col>1</xdr:col>
      <xdr:colOff>182880</xdr:colOff>
      <xdr:row>5</xdr:row>
      <xdr:rowOff>57150</xdr:rowOff>
    </xdr:from>
    <xdr:to>
      <xdr:col>3</xdr:col>
      <xdr:colOff>127000</xdr:colOff>
      <xdr:row>7</xdr:row>
      <xdr:rowOff>137160</xdr:rowOff>
    </xdr:to>
    <xdr:graphicFrame macro="">
      <xdr:nvGraphicFramePr>
        <xdr:cNvPr id="50" name="Chart 49">
          <a:hlinkClick xmlns:r="http://schemas.openxmlformats.org/officeDocument/2006/relationships" r:id="rId6"/>
          <a:extLst>
            <a:ext uri="{FF2B5EF4-FFF2-40B4-BE49-F238E27FC236}">
              <a16:creationId xmlns:a16="http://schemas.microsoft.com/office/drawing/2014/main" id="{E4BE498C-609F-4791-A195-55FC07DD45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66676</xdr:colOff>
      <xdr:row>5</xdr:row>
      <xdr:rowOff>161928</xdr:rowOff>
    </xdr:from>
    <xdr:to>
      <xdr:col>5</xdr:col>
      <xdr:colOff>104776</xdr:colOff>
      <xdr:row>8</xdr:row>
      <xdr:rowOff>45403</xdr:rowOff>
    </xdr:to>
    <xdr:graphicFrame macro="">
      <xdr:nvGraphicFramePr>
        <xdr:cNvPr id="51" name="Chart 50">
          <a:hlinkClick xmlns:r="http://schemas.openxmlformats.org/officeDocument/2006/relationships" r:id="rId8"/>
          <a:extLst>
            <a:ext uri="{FF2B5EF4-FFF2-40B4-BE49-F238E27FC236}">
              <a16:creationId xmlns:a16="http://schemas.microsoft.com/office/drawing/2014/main" id="{B5620FF5-B37E-4891-97CB-10BED9369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576262</xdr:colOff>
      <xdr:row>5</xdr:row>
      <xdr:rowOff>9525</xdr:rowOff>
    </xdr:from>
    <xdr:to>
      <xdr:col>7</xdr:col>
      <xdr:colOff>152402</xdr:colOff>
      <xdr:row>8</xdr:row>
      <xdr:rowOff>61912</xdr:rowOff>
    </xdr:to>
    <xdr:graphicFrame macro="">
      <xdr:nvGraphicFramePr>
        <xdr:cNvPr id="52" name="Chart 51">
          <a:hlinkClick xmlns:r="http://schemas.openxmlformats.org/officeDocument/2006/relationships" r:id="rId10"/>
          <a:extLst>
            <a:ext uri="{FF2B5EF4-FFF2-40B4-BE49-F238E27FC236}">
              <a16:creationId xmlns:a16="http://schemas.microsoft.com/office/drawing/2014/main" id="{228E4F18-E6E7-4650-BAED-AA9C5A607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273702</xdr:colOff>
          <xdr:row>8</xdr:row>
          <xdr:rowOff>66674</xdr:rowOff>
        </xdr:from>
        <xdr:to>
          <xdr:col>6</xdr:col>
          <xdr:colOff>560294</xdr:colOff>
          <xdr:row>10</xdr:row>
          <xdr:rowOff>171449</xdr:rowOff>
        </xdr:to>
        <xdr:pic>
          <xdr:nvPicPr>
            <xdr:cNvPr id="56" name="Picture 55">
              <a:extLst>
                <a:ext uri="{FF2B5EF4-FFF2-40B4-BE49-F238E27FC236}">
                  <a16:creationId xmlns:a16="http://schemas.microsoft.com/office/drawing/2014/main" id="{C6214BEA-FB4C-C717-711A-4443EA124772}"/>
                </a:ext>
              </a:extLst>
            </xdr:cNvPr>
            <xdr:cNvPicPr>
              <a:picLocks noChangeAspect="1" noChangeArrowheads="1"/>
              <a:extLst>
                <a:ext uri="{84589F7E-364E-4C9E-8A38-B11213B215E9}">
                  <a14:cameraTool cellRange="'Pivot report'!$R$11:$U$13" spid="_x0000_s1039"/>
                </a:ext>
              </a:extLst>
            </xdr:cNvPicPr>
          </xdr:nvPicPr>
          <xdr:blipFill>
            <a:blip xmlns:r="http://schemas.openxmlformats.org/officeDocument/2006/relationships" r:embed="rId12"/>
            <a:srcRect/>
            <a:stretch>
              <a:fillRect/>
            </a:stretch>
          </xdr:blipFill>
          <xdr:spPr bwMode="auto">
            <a:xfrm>
              <a:off x="884890" y="1344612"/>
              <a:ext cx="3342529" cy="4699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218289</xdr:colOff>
      <xdr:row>11</xdr:row>
      <xdr:rowOff>49306</xdr:rowOff>
    </xdr:from>
    <xdr:to>
      <xdr:col>7</xdr:col>
      <xdr:colOff>20320</xdr:colOff>
      <xdr:row>19</xdr:row>
      <xdr:rowOff>25400</xdr:rowOff>
    </xdr:to>
    <xdr:graphicFrame macro="">
      <xdr:nvGraphicFramePr>
        <xdr:cNvPr id="57" name="Chart 56">
          <a:extLst>
            <a:ext uri="{FF2B5EF4-FFF2-40B4-BE49-F238E27FC236}">
              <a16:creationId xmlns:a16="http://schemas.microsoft.com/office/drawing/2014/main" id="{51ACB162-A73E-4C42-8AF0-E8A968EBD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82062</xdr:colOff>
      <xdr:row>1</xdr:row>
      <xdr:rowOff>74930</xdr:rowOff>
    </xdr:from>
    <xdr:to>
      <xdr:col>9</xdr:col>
      <xdr:colOff>175846</xdr:colOff>
      <xdr:row>7</xdr:row>
      <xdr:rowOff>99645</xdr:rowOff>
    </xdr:to>
    <xdr:graphicFrame macro="">
      <xdr:nvGraphicFramePr>
        <xdr:cNvPr id="60" name="Chart 59">
          <a:extLst>
            <a:ext uri="{FF2B5EF4-FFF2-40B4-BE49-F238E27FC236}">
              <a16:creationId xmlns:a16="http://schemas.microsoft.com/office/drawing/2014/main" id="{A1396F34-D4A3-47C4-BD96-3A32D9559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603743</xdr:colOff>
      <xdr:row>7</xdr:row>
      <xdr:rowOff>16322</xdr:rowOff>
    </xdr:from>
    <xdr:to>
      <xdr:col>9</xdr:col>
      <xdr:colOff>310666</xdr:colOff>
      <xdr:row>8</xdr:row>
      <xdr:rowOff>152406</xdr:rowOff>
    </xdr:to>
    <xdr:sp macro="" textlink="">
      <xdr:nvSpPr>
        <xdr:cNvPr id="61" name="TextBox 60">
          <a:extLst>
            <a:ext uri="{FF2B5EF4-FFF2-40B4-BE49-F238E27FC236}">
              <a16:creationId xmlns:a16="http://schemas.microsoft.com/office/drawing/2014/main" id="{4DB77563-2F16-4D18-A8EE-DF86491831B3}"/>
            </a:ext>
          </a:extLst>
        </xdr:cNvPr>
        <xdr:cNvSpPr txBox="1"/>
      </xdr:nvSpPr>
      <xdr:spPr>
        <a:xfrm>
          <a:off x="4261343" y="1106568"/>
          <a:ext cx="1535723" cy="317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50"/>
            <a:t>Patients</a:t>
          </a:r>
          <a:r>
            <a:rPr lang="en-IN" sz="850" baseline="0"/>
            <a:t> Attended within Time</a:t>
          </a:r>
          <a:endParaRPr lang="en-IN" sz="850"/>
        </a:p>
      </xdr:txBody>
    </xdr:sp>
    <xdr:clientData/>
  </xdr:twoCellAnchor>
  <xdr:twoCellAnchor>
    <xdr:from>
      <xdr:col>9</xdr:col>
      <xdr:colOff>23445</xdr:colOff>
      <xdr:row>1</xdr:row>
      <xdr:rowOff>33901</xdr:rowOff>
    </xdr:from>
    <xdr:to>
      <xdr:col>11</xdr:col>
      <xdr:colOff>545123</xdr:colOff>
      <xdr:row>8</xdr:row>
      <xdr:rowOff>76201</xdr:rowOff>
    </xdr:to>
    <xdr:graphicFrame macro="">
      <xdr:nvGraphicFramePr>
        <xdr:cNvPr id="62" name="Chart 61">
          <a:extLst>
            <a:ext uri="{FF2B5EF4-FFF2-40B4-BE49-F238E27FC236}">
              <a16:creationId xmlns:a16="http://schemas.microsoft.com/office/drawing/2014/main" id="{11E65FBD-DA91-46A9-AA8D-0B683DE70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71937</xdr:colOff>
      <xdr:row>9</xdr:row>
      <xdr:rowOff>35169</xdr:rowOff>
    </xdr:from>
    <xdr:to>
      <xdr:col>11</xdr:col>
      <xdr:colOff>363415</xdr:colOff>
      <xdr:row>18</xdr:row>
      <xdr:rowOff>128954</xdr:rowOff>
    </xdr:to>
    <xdr:graphicFrame macro="">
      <xdr:nvGraphicFramePr>
        <xdr:cNvPr id="63" name="Chart 62">
          <a:extLst>
            <a:ext uri="{FF2B5EF4-FFF2-40B4-BE49-F238E27FC236}">
              <a16:creationId xmlns:a16="http://schemas.microsoft.com/office/drawing/2014/main" id="{6433DCDB-9065-4DED-8B8D-FDBE73827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5</xdr:col>
      <xdr:colOff>99646</xdr:colOff>
      <xdr:row>1</xdr:row>
      <xdr:rowOff>123093</xdr:rowOff>
    </xdr:from>
    <xdr:to>
      <xdr:col>7</xdr:col>
      <xdr:colOff>0</xdr:colOff>
      <xdr:row>3</xdr:row>
      <xdr:rowOff>175848</xdr:rowOff>
    </xdr:to>
    <mc:AlternateContent xmlns:mc="http://schemas.openxmlformats.org/markup-compatibility/2006" xmlns:a14="http://schemas.microsoft.com/office/drawing/2010/main">
      <mc:Choice Requires="a14">
        <xdr:graphicFrame macro="">
          <xdr:nvGraphicFramePr>
            <xdr:cNvPr id="64" name="Date (Year) 1">
              <a:extLst>
                <a:ext uri="{FF2B5EF4-FFF2-40B4-BE49-F238E27FC236}">
                  <a16:creationId xmlns:a16="http://schemas.microsoft.com/office/drawing/2014/main" id="{25D70491-CC61-4E7B-8FAA-A7D4DF1D85ED}"/>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155584" y="123093"/>
              <a:ext cx="1122729" cy="417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83820</xdr:colOff>
      <xdr:row>0</xdr:row>
      <xdr:rowOff>106680</xdr:rowOff>
    </xdr:from>
    <xdr:to>
      <xdr:col>19</xdr:col>
      <xdr:colOff>22860</xdr:colOff>
      <xdr:row>18</xdr:row>
      <xdr:rowOff>106680</xdr:rowOff>
    </xdr:to>
    <xdr:graphicFrame macro="">
      <xdr:nvGraphicFramePr>
        <xdr:cNvPr id="2" name="Chart 1">
          <a:extLst>
            <a:ext uri="{FF2B5EF4-FFF2-40B4-BE49-F238E27FC236}">
              <a16:creationId xmlns:a16="http://schemas.microsoft.com/office/drawing/2014/main" id="{15E69A1B-F1AB-4567-9927-A32B9FFA83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99060</xdr:colOff>
      <xdr:row>18</xdr:row>
      <xdr:rowOff>160020</xdr:rowOff>
    </xdr:from>
    <xdr:to>
      <xdr:col>19</xdr:col>
      <xdr:colOff>38100</xdr:colOff>
      <xdr:row>20</xdr:row>
      <xdr:rowOff>60960</xdr:rowOff>
    </xdr:to>
    <xdr:sp macro="" textlink="">
      <xdr:nvSpPr>
        <xdr:cNvPr id="3" name="TextBox 2">
          <a:extLst>
            <a:ext uri="{FF2B5EF4-FFF2-40B4-BE49-F238E27FC236}">
              <a16:creationId xmlns:a16="http://schemas.microsoft.com/office/drawing/2014/main" id="{C8849894-BC56-2326-890F-C6F442B8E28A}"/>
            </a:ext>
          </a:extLst>
        </xdr:cNvPr>
        <xdr:cNvSpPr txBox="1"/>
      </xdr:nvSpPr>
      <xdr:spPr>
        <a:xfrm>
          <a:off x="99060" y="3451860"/>
          <a:ext cx="115214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Showing a daily trend with an area</a:t>
          </a:r>
          <a:r>
            <a:rPr lang="en-IN" sz="1200" b="1" baseline="0"/>
            <a:t> sparkline to spot patterns like busy days or seasonal trends</a:t>
          </a:r>
          <a:endParaRPr lang="en-IN" sz="1200" b="1"/>
        </a:p>
      </xdr:txBody>
    </xdr:sp>
    <xdr:clientData/>
  </xdr:twoCellAnchor>
  <xdr:twoCellAnchor editAs="oneCell">
    <xdr:from>
      <xdr:col>0</xdr:col>
      <xdr:colOff>137160</xdr:colOff>
      <xdr:row>0</xdr:row>
      <xdr:rowOff>114300</xdr:rowOff>
    </xdr:from>
    <xdr:to>
      <xdr:col>0</xdr:col>
      <xdr:colOff>472440</xdr:colOff>
      <xdr:row>2</xdr:row>
      <xdr:rowOff>83820</xdr:rowOff>
    </xdr:to>
    <xdr:pic>
      <xdr:nvPicPr>
        <xdr:cNvPr id="5" name="Graphic 4" descr="Home">
          <a:hlinkClick xmlns:r="http://schemas.openxmlformats.org/officeDocument/2006/relationships" r:id="rId2"/>
          <a:extLst>
            <a:ext uri="{FF2B5EF4-FFF2-40B4-BE49-F238E27FC236}">
              <a16:creationId xmlns:a16="http://schemas.microsoft.com/office/drawing/2014/main" id="{9C0680F4-ABB0-4287-EC98-119AF7E48FD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7160" y="114300"/>
          <a:ext cx="335280" cy="3352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160020</xdr:colOff>
      <xdr:row>0</xdr:row>
      <xdr:rowOff>144780</xdr:rowOff>
    </xdr:from>
    <xdr:to>
      <xdr:col>19</xdr:col>
      <xdr:colOff>0</xdr:colOff>
      <xdr:row>19</xdr:row>
      <xdr:rowOff>7620</xdr:rowOff>
    </xdr:to>
    <xdr:graphicFrame macro="">
      <xdr:nvGraphicFramePr>
        <xdr:cNvPr id="2" name="Chart 1">
          <a:extLst>
            <a:ext uri="{FF2B5EF4-FFF2-40B4-BE49-F238E27FC236}">
              <a16:creationId xmlns:a16="http://schemas.microsoft.com/office/drawing/2014/main" id="{AEE4585A-A757-427F-90EA-A14C3BBAF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190500</xdr:colOff>
      <xdr:row>19</xdr:row>
      <xdr:rowOff>0</xdr:rowOff>
    </xdr:from>
    <xdr:to>
      <xdr:col>18</xdr:col>
      <xdr:colOff>601980</xdr:colOff>
      <xdr:row>20</xdr:row>
      <xdr:rowOff>83820</xdr:rowOff>
    </xdr:to>
    <xdr:sp macro="" textlink="">
      <xdr:nvSpPr>
        <xdr:cNvPr id="3" name="TextBox 2">
          <a:extLst>
            <a:ext uri="{FF2B5EF4-FFF2-40B4-BE49-F238E27FC236}">
              <a16:creationId xmlns:a16="http://schemas.microsoft.com/office/drawing/2014/main" id="{295B2623-7EAF-44C4-ABF4-685C5216D5C5}"/>
            </a:ext>
          </a:extLst>
        </xdr:cNvPr>
        <xdr:cNvSpPr txBox="1"/>
      </xdr:nvSpPr>
      <xdr:spPr>
        <a:xfrm>
          <a:off x="190500" y="3474720"/>
          <a:ext cx="113842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Use</a:t>
          </a:r>
          <a:r>
            <a:rPr lang="en-IN" sz="1200" b="1" baseline="0"/>
            <a:t> an area chart to track daily changes and highlight days with longer wait times that might need improvements.</a:t>
          </a:r>
          <a:endParaRPr lang="en-IN" sz="1200" b="1"/>
        </a:p>
      </xdr:txBody>
    </xdr:sp>
    <xdr:clientData/>
  </xdr:twoCellAnchor>
</xdr:wsDr>
</file>

<file path=xl/drawings/drawing5.xml><?xml version="1.0" encoding="utf-8"?>
<c:userShapes xmlns:c="http://schemas.openxmlformats.org/drawingml/2006/chart">
  <cdr:relSizeAnchor xmlns:cdr="http://schemas.openxmlformats.org/drawingml/2006/chartDrawing">
    <cdr:from>
      <cdr:x>0.00445</cdr:x>
      <cdr:y>0.01522</cdr:y>
    </cdr:from>
    <cdr:to>
      <cdr:x>0.0338</cdr:x>
      <cdr:y>0.11568</cdr:y>
    </cdr:to>
    <cdr:pic>
      <cdr:nvPicPr>
        <cdr:cNvPr id="2" name="Graphic 4"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C0680F4-ABB0-4287-EC98-119AF7E48FD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35280" cy="33528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190500</xdr:colOff>
      <xdr:row>19</xdr:row>
      <xdr:rowOff>53340</xdr:rowOff>
    </xdr:from>
    <xdr:to>
      <xdr:col>18</xdr:col>
      <xdr:colOff>601980</xdr:colOff>
      <xdr:row>20</xdr:row>
      <xdr:rowOff>137160</xdr:rowOff>
    </xdr:to>
    <xdr:sp macro="" textlink="">
      <xdr:nvSpPr>
        <xdr:cNvPr id="3" name="TextBox 2">
          <a:extLst>
            <a:ext uri="{FF2B5EF4-FFF2-40B4-BE49-F238E27FC236}">
              <a16:creationId xmlns:a16="http://schemas.microsoft.com/office/drawing/2014/main" id="{436A134B-5D38-4EA4-AABE-281060760972}"/>
            </a:ext>
          </a:extLst>
        </xdr:cNvPr>
        <xdr:cNvSpPr txBox="1"/>
      </xdr:nvSpPr>
      <xdr:spPr>
        <a:xfrm>
          <a:off x="190500" y="3528060"/>
          <a:ext cx="113842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Use an area chart to show trends, spot drops in satisfaction,</a:t>
          </a:r>
          <a:r>
            <a:rPr lang="en-IN" sz="1200" b="1" baseline="0"/>
            <a:t> and link them to busy times or challenges</a:t>
          </a:r>
          <a:endParaRPr lang="en-IN" sz="1200" b="1"/>
        </a:p>
      </xdr:txBody>
    </xdr:sp>
    <xdr:clientData/>
  </xdr:twoCellAnchor>
  <xdr:twoCellAnchor>
    <xdr:from>
      <xdr:col>0</xdr:col>
      <xdr:colOff>129540</xdr:colOff>
      <xdr:row>0</xdr:row>
      <xdr:rowOff>144780</xdr:rowOff>
    </xdr:from>
    <xdr:to>
      <xdr:col>19</xdr:col>
      <xdr:colOff>15240</xdr:colOff>
      <xdr:row>19</xdr:row>
      <xdr:rowOff>15240</xdr:rowOff>
    </xdr:to>
    <xdr:graphicFrame macro="">
      <xdr:nvGraphicFramePr>
        <xdr:cNvPr id="4" name="Chart 3">
          <a:extLst>
            <a:ext uri="{FF2B5EF4-FFF2-40B4-BE49-F238E27FC236}">
              <a16:creationId xmlns:a16="http://schemas.microsoft.com/office/drawing/2014/main" id="{87ED9F4A-1E43-47A9-8C56-B423D64D57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0.00443</cdr:x>
      <cdr:y>0.01642</cdr:y>
    </cdr:from>
    <cdr:to>
      <cdr:x>0.03367</cdr:x>
      <cdr:y>0.12479</cdr:y>
    </cdr:to>
    <cdr:pic>
      <cdr:nvPicPr>
        <cdr:cNvPr id="2" name="Graphic 4"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6AE5D9A-1BF8-2EA0-2E81-9EEF140D0F2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35280" cy="33528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ima kour" refreshedDate="46128.534812615741" createdVersion="5" refreshedVersion="8" minRefreshableVersion="3" recordCount="0" supportSubquery="1" supportAdvancedDrill="1" xr:uid="{D90AC8F5-8EBA-4E17-9E10-5C3D81478CA6}">
  <cacheSource type="external" connectionId="3"/>
  <cacheFields count="3">
    <cacheField name="[Measures].[Distinct Count of Patient Id]" caption="Distinct Count of Patient Id" numFmtId="0" hierarchy="24" level="32767"/>
    <cacheField name="[Calender_Table].[Date (Day)].[Date (Day)]" caption="Date (Day)" numFmtId="0" hierarchy="4"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er_Table].[Date (Month)].[Date (Month)]" caption="Date (Month)"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ima kour" refreshedDate="46128.534812731479" createdVersion="5" refreshedVersion="8" minRefreshableVersion="3" recordCount="0" supportSubquery="1" supportAdvancedDrill="1" xr:uid="{1C524420-D0D6-4165-97D8-C7A9B9FF31DE}">
  <cacheSource type="external" connectionId="3"/>
  <cacheFields count="2">
    <cacheField name="[Measures].[Distinct Count of Patient Id]" caption="Distinct Count of Patient Id" numFmtId="0" hierarchy="24" level="32767"/>
    <cacheField name="[Calender_Table].[Date (Month)].[Date (Month)]" caption="Date (Month)"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ima kour" refreshedDate="46128.534812847225" createdVersion="5" refreshedVersion="8" minRefreshableVersion="3" recordCount="0" supportSubquery="1" supportAdvancedDrill="1" xr:uid="{6B798FFC-5E2C-49E2-8610-0EA18324A873}">
  <cacheSource type="external" connectionId="3"/>
  <cacheFields count="2">
    <cacheField name="[Measures].[Average of Patient Waittime]" caption="Average of Patient Waittime" numFmtId="0" hierarchy="26" level="32767"/>
    <cacheField name="[Calender_Table].[Date (Month)].[Date (Month)]" caption="Date (Month)"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ima kour" refreshedDate="46128.534813078702" createdVersion="5" refreshedVersion="8" minRefreshableVersion="3" recordCount="0" supportSubquery="1" supportAdvancedDrill="1" xr:uid="{7371C1B5-180A-4F75-AD0F-AD796E6D3560}">
  <cacheSource type="external" connectionId="3"/>
  <cacheFields count="2">
    <cacheField name="[Measures].[Average of Patient Satisfaction Score]" caption="Average of Patient Satisfaction Score" numFmtId="0" hierarchy="28" level="32767"/>
    <cacheField name="[Calender_Table].[Date (Month)].[Date (Month)]" caption="Date (Month)"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ima kour" refreshedDate="46128.534813425926" createdVersion="5" refreshedVersion="8" minRefreshableVersion="3" recordCount="0" supportSubquery="1" supportAdvancedDrill="1" xr:uid="{757FF158-AEB5-44CC-8EA3-B759B443588D}">
  <cacheSource type="external" connectionId="3"/>
  <cacheFields count="3">
    <cacheField name="[Calender_Table].[Date (Day)].[Date (Day)]" caption="Date (Day)" numFmtId="0" hierarchy="4"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er_Table].[Date (Month)].[Date (Month)]" caption="Date (Month)" numFmtId="0" hierarchy="3" level="1">
      <sharedItems containsSemiMixedTypes="0" containsNonDate="0" containsString="0"/>
    </cacheField>
    <cacheField name="[Measures].[Average of Patient Waittime]" caption="Average of Patient Waittime" numFmtId="0" hierarchy="26" level="32767"/>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ima kour" refreshedDate="46128.534814004626" createdVersion="5" refreshedVersion="8" minRefreshableVersion="3" recordCount="0" supportSubquery="1" supportAdvancedDrill="1" xr:uid="{95EADBCE-F7E2-4F26-95CE-DCEB2F2A90FC}">
  <cacheSource type="external" connectionId="3"/>
  <cacheFields count="3">
    <cacheField name="[Calender_Table].[Date (Day)].[Date (Day)]" caption="Date (Day)" numFmtId="0" hierarchy="4"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er_Table].[Date (Month)].[Date (Month)]" caption="Date (Month)" numFmtId="0" hierarchy="3" level="1">
      <sharedItems containsSemiMixedTypes="0" containsNonDate="0" containsString="0"/>
    </cacheField>
    <cacheField name="[Measures].[Average of Patient Satisfaction Score]" caption="Average of Patient Satisfaction Score" numFmtId="0" hierarchy="28" level="32767"/>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ima kour" refreshedDate="46128.534814467595" createdVersion="5" refreshedVersion="8" minRefreshableVersion="3" recordCount="0" supportSubquery="1" supportAdvancedDrill="1" xr:uid="{7277FC5B-1760-47CC-ADCB-DBDC2DBD33E6}">
  <cacheSource type="external" connectionId="3"/>
  <cacheFields count="4">
    <cacheField name="[Calender_Table].[Date (Month)].[Date (Month)]" caption="Date (Month)" numFmtId="0" hierarchy="3"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Unsupported0" numFmtId="0" hierarchy="32" level="32767">
      <extLst>
        <ext xmlns:x14="http://schemas.microsoft.com/office/spreadsheetml/2009/9/main" uri="{63CAB8AC-B538-458d-9737-405883B0398D}">
          <x14:cacheField ignore="1"/>
        </ext>
      </extLst>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ima kour" refreshedDate="46128.534814930557" createdVersion="5" refreshedVersion="8" minRefreshableVersion="3" recordCount="0" supportSubquery="1" supportAdvancedDrill="1" xr:uid="{AC967181-60C0-4BF7-B51E-3BD11AADB77E}">
  <cacheSource type="external" connectionId="3"/>
  <cacheFields count="3">
    <cacheField name="[Calender_Table].[Date (Month)].[Date (Month)]" caption="Date (Month)" numFmtId="0" hierarchy="3"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ima kour" refreshedDate="46128.534815393519" createdVersion="5" refreshedVersion="8" minRefreshableVersion="3" recordCount="0" supportSubquery="1" supportAdvancedDrill="1" xr:uid="{EBAC638E-1488-462B-8DC6-B5C31028AC2B}">
  <cacheSource type="external" connectionId="3"/>
  <cacheFields count="3">
    <cacheField name="[Calender_Table].[Date (Month)].[Date (Month)]" caption="Date (Month)" numFmtId="0" hierarchy="3"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Id]" caption="Count of Patient Id" numFmtId="0" hierarchy="23" level="32767"/>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ima kour" refreshedDate="46128.534815856481" createdVersion="5" refreshedVersion="8" minRefreshableVersion="3" recordCount="0" supportSubquery="1" supportAdvancedDrill="1" xr:uid="{A610D64D-AF31-4180-8BF4-6D2291D9BFB1}">
  <cacheSource type="external" connectionId="3"/>
  <cacheFields count="3">
    <cacheField name="[Calender_Table].[Date (Month)].[Date (Month)]" caption="Date (Month)" numFmtId="0" hierarchy="3" level="1">
      <sharedItems containsSemiMixedTypes="0" containsNonDate="0" containsString="0"/>
    </cacheField>
    <cacheField name="[Measures].[Count of Patient Id]" caption="Count of Patient Id" numFmtId="0" hierarchy="23" level="32767"/>
    <cacheField name="[Hospital Emergency Room Data].[Patient Gender].[Patient Gender]" caption="Patient Gender" numFmtId="0" hierarchy="9" level="1">
      <sharedItems count="2">
        <s v="Female"/>
        <s v="Male"/>
      </sharedItems>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ima kour" refreshedDate="46128.534816319443" createdVersion="5" refreshedVersion="8" minRefreshableVersion="3" recordCount="0" supportSubquery="1" supportAdvancedDrill="1" xr:uid="{507D49EF-75ED-4B78-B2BD-5DA01C01C4DE}">
  <cacheSource type="external" connectionId="3"/>
  <cacheFields count="3">
    <cacheField name="[Calender_Table].[Date (Month)].[Date (Month)]" caption="Date (Month)" numFmtId="0" hierarchy="3" level="1">
      <sharedItems containsSemiMixedTypes="0" containsNonDate="0" containsString="0"/>
    </cacheField>
    <cacheField name="[Measures].[Count of Patient Id]" caption="Count of Patient Id" numFmtId="0" hierarchy="23"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ima kour" refreshedDate="46094.26796203704" createdVersion="3" refreshedVersion="8" minRefreshableVersion="3" recordCount="0" supportSubquery="1" supportAdvancedDrill="1" xr:uid="{46652874-7D66-4F33-8444-F09FA2507C62}">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385077679"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ima kour" refreshedDate="46094.419001273149" createdVersion="3" refreshedVersion="8" minRefreshableVersion="3" recordCount="0" supportSubquery="1" supportAdvancedDrill="1" xr:uid="{F1EFF32F-B4B9-49EE-950F-C62F8141229E}">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47606945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B7CF5C-DA5F-41D9-8786-1D8111E0DE0A}" name="PivotTable8" cacheId="7" applyNumberFormats="0" applyBorderFormats="0" applyFontFormats="0" applyPatternFormats="0" applyAlignmentFormats="0" applyWidthHeightFormats="1" dataCaption="Values" tag="4440f471-58d1-4643-b30e-601ee9a0ccbe" updatedVersion="8" minRefreshableVersion="3" subtotalHiddenItems="1" itemPrintTitles="1" createdVersion="5" indent="0" outline="1" outlineData="1" multipleFieldFilters="0" chartFormat="38">
  <location ref="W4:X13"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1">
      <pivotArea outline="0" collapsedLevelsAreSubtotals="1" fieldPosition="0"/>
    </format>
    <format dxfId="0">
      <pivotArea dataOnly="0" labelOnly="1" outline="0" axis="axisValues" fieldPosition="0"/>
    </format>
  </formats>
  <chartFormats count="1">
    <chartFormat chart="33" format="2" series="1">
      <pivotArea type="data" outline="0" fieldPosition="0">
        <references count="1">
          <reference field="4294967294" count="1" selected="0">
            <x v="0"/>
          </reference>
        </references>
      </pivotArea>
    </chartFormat>
  </chartFormats>
  <pivotHierarchies count="32">
    <pivotHierarchy multipleItemSelectionAllowed="1" dragToData="1"/>
    <pivotHierarchy multipleItemSelectionAllowed="1" dragToData="1"/>
    <pivotHierarchy dragToData="1"/>
    <pivotHierarchy multipleItemSelectionAllowed="1" dragToData="1">
      <members count="1" level="1">
        <member name="[Calende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0AB1A6-D9E5-4483-A303-E2C5B696FBBE}" name="PivotTable3" cacheId="3" applyNumberFormats="0" applyBorderFormats="0" applyFontFormats="0" applyPatternFormats="0" applyAlignmentFormats="0" applyWidthHeightFormats="1" dataCaption="Values" tag="5c15776c-53b9-40f4-baf2-4bbe85ce84c3" updatedVersion="8" minRefreshableVersion="3" subtotalHiddenItems="1" itemPrintTitles="1" createdVersion="5"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
      <pivotArea outline="0" collapsedLevelsAreSubtotals="1" fieldPosition="0"/>
    </format>
  </formats>
  <pivotHierarchies count="32">
    <pivotHierarchy dragToData="1"/>
    <pivotHierarchy multipleItemSelectionAllowed="1" dragToData="1"/>
    <pivotHierarchy dragToData="1"/>
    <pivotHierarchy multipleItemSelectionAllowed="1" dragToData="1">
      <members count="1" level="1">
        <member name="[Calende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208B22-96B8-42B0-B489-A45995D1375D}" name="PivotTable10" cacheId="9" applyNumberFormats="0" applyBorderFormats="0" applyFontFormats="0" applyPatternFormats="0" applyAlignmentFormats="0" applyWidthHeightFormats="1" dataCaption="Values" tag="4440f471-58d1-4643-b30e-601ee9a0ccbe" updatedVersion="8" minRefreshableVersion="3" subtotalHiddenItems="1" itemPrintTitles="1" createdVersion="5" indent="0" outline="1" outlineData="1" multipleFieldFilters="0" chartFormat="64">
  <location ref="AC4:AD7"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Count of Patient Id" fld="1" subtotal="count" baseField="0" baseItem="0"/>
  </dataFields>
  <formats count="2">
    <format dxfId="4">
      <pivotArea outline="0" collapsedLevelsAreSubtotals="1" fieldPosition="0"/>
    </format>
    <format dxfId="3">
      <pivotArea dataOnly="0" labelOnly="1" outline="0" axis="axisValues" fieldPosition="0"/>
    </format>
  </formats>
  <chartFormats count="9">
    <chartFormat chart="37" format="0"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8" format="11" series="1">
      <pivotArea type="data" outline="0" fieldPosition="0">
        <references count="1">
          <reference field="4294967294" count="1" selected="0">
            <x v="0"/>
          </reference>
        </references>
      </pivotArea>
    </chartFormat>
    <chartFormat chart="52" format="17" series="1">
      <pivotArea type="data" outline="0" fieldPosition="0">
        <references count="1">
          <reference field="4294967294" count="1" selected="0">
            <x v="0"/>
          </reference>
        </references>
      </pivotArea>
    </chartFormat>
    <chartFormat chart="54" format="23" series="1">
      <pivotArea type="data" outline="0" fieldPosition="0">
        <references count="1">
          <reference field="4294967294" count="1" selected="0">
            <x v="0"/>
          </reference>
        </references>
      </pivotArea>
    </chartFormat>
    <chartFormat chart="57" format="29" series="1">
      <pivotArea type="data" outline="0" fieldPosition="0">
        <references count="1">
          <reference field="4294967294" count="1" selected="0">
            <x v="0"/>
          </reference>
        </references>
      </pivotArea>
    </chartFormat>
    <chartFormat chart="63" format="5" series="1">
      <pivotArea type="data" outline="0" fieldPosition="0">
        <references count="1">
          <reference field="4294967294" count="1" selected="0">
            <x v="0"/>
          </reference>
        </references>
      </pivotArea>
    </chartFormat>
    <chartFormat chart="63" format="6">
      <pivotArea type="data" outline="0" fieldPosition="0">
        <references count="2">
          <reference field="4294967294" count="1" selected="0">
            <x v="0"/>
          </reference>
          <reference field="2" count="1" selected="0">
            <x v="0"/>
          </reference>
        </references>
      </pivotArea>
    </chartFormat>
    <chartFormat chart="63" format="7">
      <pivotArea type="data" outline="0" fieldPosition="0">
        <references count="2">
          <reference field="4294967294" count="1" selected="0">
            <x v="0"/>
          </reference>
          <reference field="2" count="1" selected="0">
            <x v="1"/>
          </reference>
        </references>
      </pivotArea>
    </chartFormat>
  </chartFormats>
  <pivotHierarchies count="32">
    <pivotHierarchy multipleItemSelectionAllowed="1" dragToData="1"/>
    <pivotHierarchy multipleItemSelectionAllowed="1" dragToData="1"/>
    <pivotHierarchy dragToData="1"/>
    <pivotHierarchy multipleItemSelectionAllowed="1" dragToData="1">
      <members count="1" level="1">
        <member name="[Calende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9C5D46-D57B-4243-BCA4-9235FDE77FA7}" name="PivotTable4" cacheId="0" applyNumberFormats="0" applyBorderFormats="0" applyFontFormats="0" applyPatternFormats="0" applyAlignmentFormats="0" applyWidthHeightFormats="1" dataCaption="Values" tag="4440f471-58d1-4643-b30e-601ee9a0ccbe" updatedVersion="8" minRefreshableVersion="3" subtotalHiddenItems="1" itemPrintTitles="1" createdVersion="5" indent="0" outline="1" outlineData="1" multipleFieldFilters="0" chartFormat="9">
  <location ref="D4:E36" firstHeaderRow="1" firstDataRow="1" firstDataCol="1"/>
  <pivotFields count="3">
    <pivotField dataField="1" subtotalTop="0" showAll="0" defaultSubtotal="0"/>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2">
    <pivotHierarchy multipleItemSelectionAllowed="1" dragToData="1"/>
    <pivotHierarchy multipleItemSelectionAllowed="1" dragToData="1"/>
    <pivotHierarchy dragToData="1"/>
    <pivotHierarchy multipleItemSelectionAllowed="1" dragToData="1">
      <members count="1" level="1">
        <member name="[Calende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1764F2-1B50-4624-9F80-2F52C051356C}" name="PivotTable11" cacheId="10" applyNumberFormats="0" applyBorderFormats="0" applyFontFormats="0" applyPatternFormats="0" applyAlignmentFormats="0" applyWidthHeightFormats="1" dataCaption="Values" tag="4440f471-58d1-4643-b30e-601ee9a0ccbe" updatedVersion="8" minRefreshableVersion="3" subtotalHiddenItems="1" itemPrintTitles="1" createdVersion="5" indent="0" outline="1" outlineData="1" multipleFieldFilters="0" chartFormat="70">
  <location ref="AF4:AG13"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sortType="ascending" dataSourceSort="1"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s>
  <rowFields count="1">
    <field x="2"/>
  </rowFields>
  <rowItems count="9">
    <i>
      <x v="7"/>
    </i>
    <i>
      <x v="3"/>
    </i>
    <i>
      <x v="1"/>
    </i>
    <i>
      <x/>
    </i>
    <i>
      <x v="6"/>
    </i>
    <i>
      <x v="5"/>
    </i>
    <i>
      <x v="2"/>
    </i>
    <i>
      <x v="4"/>
    </i>
    <i t="grand">
      <x/>
    </i>
  </rowItems>
  <colItems count="1">
    <i/>
  </colItems>
  <dataFields count="1">
    <dataField name="Count of Patient Id" fld="1" subtotal="count" baseField="0" baseItem="0"/>
  </dataFields>
  <formats count="2">
    <format dxfId="6">
      <pivotArea outline="0" collapsedLevelsAreSubtotals="1" fieldPosition="0"/>
    </format>
    <format dxfId="5">
      <pivotArea dataOnly="0" labelOnly="1" outline="0" axis="axisValues" fieldPosition="0"/>
    </format>
  </formats>
  <chartFormats count="11">
    <chartFormat chart="37" format="0"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8" format="11" series="1">
      <pivotArea type="data" outline="0" fieldPosition="0">
        <references count="1">
          <reference field="4294967294" count="1" selected="0">
            <x v="0"/>
          </reference>
        </references>
      </pivotArea>
    </chartFormat>
    <chartFormat chart="52" format="17" series="1">
      <pivotArea type="data" outline="0" fieldPosition="0">
        <references count="1">
          <reference field="4294967294" count="1" selected="0">
            <x v="0"/>
          </reference>
        </references>
      </pivotArea>
    </chartFormat>
    <chartFormat chart="54" format="23" series="1">
      <pivotArea type="data" outline="0" fieldPosition="0">
        <references count="1">
          <reference field="4294967294" count="1" selected="0">
            <x v="0"/>
          </reference>
        </references>
      </pivotArea>
    </chartFormat>
    <chartFormat chart="57" format="29" series="1">
      <pivotArea type="data" outline="0" fieldPosition="0">
        <references count="1">
          <reference field="4294967294" count="1" selected="0">
            <x v="0"/>
          </reference>
        </references>
      </pivotArea>
    </chartFormat>
    <chartFormat chart="58" format="0" series="1">
      <pivotArea type="data" outline="0" fieldPosition="0">
        <references count="1">
          <reference field="4294967294" count="1" selected="0">
            <x v="0"/>
          </reference>
        </references>
      </pivotArea>
    </chartFormat>
    <chartFormat chart="63" format="5"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8" format="1"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s>
  <pivotHierarchies count="32">
    <pivotHierarchy multipleItemSelectionAllowed="1" dragToData="1"/>
    <pivotHierarchy multipleItemSelectionAllowed="1" dragToData="1"/>
    <pivotHierarchy dragToData="1"/>
    <pivotHierarchy multipleItemSelectionAllowed="1" dragToData="1">
      <members count="1" level="1">
        <member name="[Calende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139441-C178-4C15-B802-B2D76EB93A5F}" name="PivotTable7" cacheId="6" applyNumberFormats="0" applyBorderFormats="0" applyFontFormats="0" applyPatternFormats="0" applyAlignmentFormats="0" applyWidthHeightFormats="1" dataCaption="Values" tag="4440f471-58d1-4643-b30e-601ee9a0ccbe" updatedVersion="8" minRefreshableVersion="3" subtotalHiddenItems="1" itemPrintTitles="1" createdVersion="5" indent="0" outline="1" outlineData="1" multipleFieldFilters="0" chartFormat="30">
  <location ref="S4:U7"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3" subtotal="count" showDataAs="percentOfTotal" baseField="2" baseItem="0" numFmtId="10">
      <extLst>
        <ext xmlns:x14="http://schemas.microsoft.com/office/spreadsheetml/2009/9/main" uri="{E15A36E0-9728-4e99-A89B-3F7291B0FE68}">
          <x14:dataField sourceField="1" uniqueName="[__Xl2].[Measures].[Count of Patient Admission Flag]"/>
        </ext>
      </extLst>
    </dataField>
  </dataFields>
  <formats count="3">
    <format dxfId="9">
      <pivotArea outline="0" collapsedLevelsAreSubtotals="1" fieldPosition="0"/>
    </format>
    <format dxfId="8">
      <pivotArea dataOnly="0" labelOnly="1" outline="0" axis="axisValues" fieldPosition="0"/>
    </format>
    <format dxfId="7">
      <pivotArea outline="0" fieldPosition="0">
        <references count="1">
          <reference field="4294967294" count="1">
            <x v="1"/>
          </reference>
        </references>
      </pivotArea>
    </format>
  </formats>
  <chartFormats count="6">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6" format="2">
      <pivotArea type="data" outline="0" fieldPosition="0">
        <references count="2">
          <reference field="4294967294" count="1" selected="0">
            <x v="0"/>
          </reference>
          <reference field="2" count="1" selected="0">
            <x v="0"/>
          </reference>
        </references>
      </pivotArea>
    </chartFormat>
    <chartFormat chart="26" format="3">
      <pivotArea type="data" outline="0" fieldPosition="0">
        <references count="2">
          <reference field="4294967294" count="1" selected="0">
            <x v="0"/>
          </reference>
          <reference field="2" count="1" selected="0">
            <x v="1"/>
          </reference>
        </references>
      </pivotArea>
    </chartFormat>
    <chartFormat chart="26" format="4">
      <pivotArea type="data" outline="0" fieldPosition="0">
        <references count="2">
          <reference field="4294967294" count="1" selected="0">
            <x v="1"/>
          </reference>
          <reference field="2" count="1" selected="0">
            <x v="0"/>
          </reference>
        </references>
      </pivotArea>
    </chartFormat>
    <chartFormat chart="26" format="5">
      <pivotArea type="data" outline="0" fieldPosition="0">
        <references count="2">
          <reference field="4294967294" count="1" selected="0">
            <x v="1"/>
          </reference>
          <reference field="2" count="1" selected="0">
            <x v="1"/>
          </reference>
        </references>
      </pivotArea>
    </chartFormat>
  </chartFormats>
  <pivotHierarchies count="33">
    <pivotHierarchy multipleItemSelectionAllowed="1" dragToData="1"/>
    <pivotHierarchy multipleItemSelectionAllowed="1" dragToData="1"/>
    <pivotHierarchy dragToData="1"/>
    <pivotHierarchy multipleItemSelectionAllowed="1" dragToData="1">
      <members count="1" level="1">
        <member name="[Calende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530CB9-B569-47F0-8303-DD2F0A81DE3A}" name="PivotTable6" cacheId="5" applyNumberFormats="0" applyBorderFormats="0" applyFontFormats="0" applyPatternFormats="0" applyAlignmentFormats="0" applyWidthHeightFormats="1" dataCaption="Values" tag="4440f471-58d1-4643-b30e-601ee9a0ccbe" updatedVersion="8" minRefreshableVersion="3" subtotalHiddenItems="1" itemPrintTitles="1" createdVersion="5" indent="0" outline="1" outlineData="1" multipleFieldFilters="0" chartFormat="26">
  <location ref="O4:P36" firstHeaderRow="1" firstDataRow="1" firstDataCol="1"/>
  <pivotFields count="3">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
    <format dxfId="11">
      <pivotArea outline="0" collapsedLevelsAreSubtotals="1" fieldPosition="0"/>
    </format>
    <format dxfId="10">
      <pivotArea dataOnly="0" labelOnly="1" outline="0" axis="axisValues" fieldPosition="0"/>
    </format>
  </formats>
  <chartFormats count="2">
    <chartFormat chart="20"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2">
    <pivotHierarchy multipleItemSelectionAllowed="1" dragToData="1"/>
    <pivotHierarchy multipleItemSelectionAllowed="1" dragToData="1"/>
    <pivotHierarchy dragToData="1"/>
    <pivotHierarchy multipleItemSelectionAllowed="1" dragToData="1">
      <members count="1" level="1">
        <member name="[Calende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78996B-6C7C-4992-B889-F04D4FAFED3A}" name="PivotTable2" cacheId="2" applyNumberFormats="0" applyBorderFormats="0" applyFontFormats="0" applyPatternFormats="0" applyAlignmentFormats="0" applyWidthHeightFormats="1" dataCaption="Values" tag="fbaa5635-8e9d-4ffa-bf6d-af37b32ca8fc" updatedVersion="8" minRefreshableVersion="3" subtotalHiddenItems="1"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2">
      <pivotArea outline="0" collapsedLevelsAreSubtotals="1" fieldPosition="0"/>
    </format>
  </formats>
  <pivotHierarchies count="32">
    <pivotHierarchy dragToData="1"/>
    <pivotHierarchy multipleItemSelectionAllowed="1" dragToData="1"/>
    <pivotHierarchy dragToData="1"/>
    <pivotHierarchy multipleItemSelectionAllowed="1" dragToData="1">
      <members count="1" level="1">
        <member name="[Calende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19405AD-10F8-476D-8751-66B9A0157026}" name="PivotTable1" cacheId="1" applyNumberFormats="0" applyBorderFormats="0" applyFontFormats="0" applyPatternFormats="0" applyAlignmentFormats="0" applyWidthHeightFormats="1" dataCaption="Values" tag="4440f471-58d1-4643-b30e-601ee9a0ccbe" updatedVersion="8" minRefreshableVersion="3" subtotalHiddenItems="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2">
    <pivotHierarchy dragToData="1"/>
    <pivotHierarchy multipleItemSelectionAllowed="1" dragToData="1"/>
    <pivotHierarchy dragToData="1"/>
    <pivotHierarchy multipleItemSelectionAllowed="1" dragToData="1">
      <members count="1" level="1">
        <member name="[Calende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7AAB82D-9E14-424B-9669-CD4A9FD65563}" name="PivotTable5" cacheId="4" applyNumberFormats="0" applyBorderFormats="0" applyFontFormats="0" applyPatternFormats="0" applyAlignmentFormats="0" applyWidthHeightFormats="1" dataCaption="Values" tag="4440f471-58d1-4643-b30e-601ee9a0ccbe" updatedVersion="8" minRefreshableVersion="3" subtotalHiddenItems="1" itemPrintTitles="1" createdVersion="5" indent="0" outline="1" outlineData="1" multipleFieldFilters="0" chartFormat="18">
  <location ref="K4:L36" firstHeaderRow="1" firstDataRow="1" firstDataCol="1"/>
  <pivotFields count="3">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2" numFmtId="2"/>
  </dataFields>
  <formats count="2">
    <format dxfId="14">
      <pivotArea outline="0" collapsedLevelsAreSubtotals="1" fieldPosition="0"/>
    </format>
    <format dxfId="13">
      <pivotArea dataOnly="0" labelOnly="1" outline="0" axis="axisValues" fieldPosition="0"/>
    </format>
  </formats>
  <chartFormats count="2">
    <chartFormat chart="11"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32">
    <pivotHierarchy multipleItemSelectionAllowed="1" dragToData="1"/>
    <pivotHierarchy multipleItemSelectionAllowed="1" dragToData="1"/>
    <pivotHierarchy dragToData="1"/>
    <pivotHierarchy multipleItemSelectionAllowed="1" dragToData="1">
      <members count="1" level="1">
        <member name="[Calende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6F45F0-A1F6-4F4C-B426-F1AE8A3B8151}" name="PivotTable9" cacheId="8" applyNumberFormats="0" applyBorderFormats="0" applyFontFormats="0" applyPatternFormats="0" applyAlignmentFormats="0" applyWidthHeightFormats="1" dataCaption="Values" tag="4440f471-58d1-4643-b30e-601ee9a0ccbe" updatedVersion="8" minRefreshableVersion="3" subtotalHiddenItems="1" itemPrintTitles="1" createdVersion="5" indent="0" outline="1" outlineData="1" multipleFieldFilters="0" chartFormat="58">
  <location ref="Z4:AA7"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Id" fld="2" subtotal="count" baseField="0" baseItem="0"/>
  </dataFields>
  <formats count="2">
    <format dxfId="16">
      <pivotArea outline="0" collapsedLevelsAreSubtotals="1" fieldPosition="0"/>
    </format>
    <format dxfId="15">
      <pivotArea dataOnly="0" labelOnly="1" outline="0" axis="axisValues" fieldPosition="0"/>
    </format>
  </formats>
  <chartFormats count="3">
    <chartFormat chart="57" format="29" series="1">
      <pivotArea type="data" outline="0" fieldPosition="0">
        <references count="1">
          <reference field="4294967294" count="1" selected="0">
            <x v="0"/>
          </reference>
        </references>
      </pivotArea>
    </chartFormat>
    <chartFormat chart="57" format="30">
      <pivotArea type="data" outline="0" fieldPosition="0">
        <references count="2">
          <reference field="4294967294" count="1" selected="0">
            <x v="0"/>
          </reference>
          <reference field="1" count="1" selected="0">
            <x v="0"/>
          </reference>
        </references>
      </pivotArea>
    </chartFormat>
    <chartFormat chart="57" format="31">
      <pivotArea type="data" outline="0" fieldPosition="0">
        <references count="2">
          <reference field="4294967294" count="1" selected="0">
            <x v="0"/>
          </reference>
          <reference field="1" count="1" selected="0">
            <x v="1"/>
          </reference>
        </references>
      </pivotArea>
    </chartFormat>
  </chartFormats>
  <pivotHierarchies count="32">
    <pivotHierarchy multipleItemSelectionAllowed="1" dragToData="1"/>
    <pivotHierarchy multipleItemSelectionAllowed="1" dragToData="1"/>
    <pivotHierarchy dragToData="1"/>
    <pivotHierarchy multipleItemSelectionAllowed="1" dragToData="1">
      <members count="1" level="1">
        <member name="[Calende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30CB062-3529-486A-8015-689CB54BF671}"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s>
  <data>
    <olap pivotCacheId="1385077679">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9618D77-9DE1-4BA7-A8F8-CF5BB996B79E}" sourceName="[Calender_Table].[Date (Year)]">
  <pivotTables>
    <pivotTable tabId="1" name="PivotTable4"/>
    <pivotTable tabId="1" name="PivotTable1"/>
    <pivotTable tabId="1" name="PivotTable10"/>
    <pivotTable tabId="1" name="PivotTable11"/>
    <pivotTable tabId="1" name="PivotTable2"/>
    <pivotTable tabId="1" name="PivotTable3"/>
    <pivotTable tabId="1" name="PivotTable5"/>
    <pivotTable tabId="1" name="PivotTable6"/>
    <pivotTable tabId="1" name="PivotTable7"/>
    <pivotTable tabId="1" name="PivotTable8"/>
    <pivotTable tabId="1" name="PivotTable9"/>
  </pivotTables>
  <data>
    <olap pivotCacheId="476069457">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34E2F8D-AE1E-4022-A136-1275A9173352}" cache="Slicer_Date__Month" caption="Date (Month)" level="1" rowHeight="234950"/>
  <slicer name="Date (Year)" xr10:uid="{440863A5-EF0A-49B5-B994-0AC6EFFB3BA1}" cache="Slicer_Date__Year" caption="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7A2747DD-96AE-473E-94B2-2D11E0CCE87E}" cache="Slicer_Date__Month" caption="Date (Month)" showCaption="0" level="1" style="My StyleLight1 2" rowHeight="144000"/>
  <slicer name="Date (Year) 1" xr10:uid="{1231A192-D201-4EAC-8373-C72ADCD34BAC}" cache="Slicer_Date__Year" caption="Date (Year)" columnCount="2" showCaption="0" level="1" style="My StyleLight1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F4BC-C6CA-409E-A741-607FECC41A3C}">
  <dimension ref="A3:AG36"/>
  <sheetViews>
    <sheetView zoomScaleNormal="100" workbookViewId="0">
      <selection activeCell="A17" sqref="A17"/>
    </sheetView>
  </sheetViews>
  <sheetFormatPr defaultRowHeight="14.4" x14ac:dyDescent="0.3"/>
  <cols>
    <col min="1" max="1" width="23.88671875" bestFit="1" customWidth="1"/>
    <col min="4" max="4" width="14.33203125" bestFit="1" customWidth="1"/>
    <col min="18" max="18" width="15.44140625" bestFit="1" customWidth="1"/>
    <col min="19" max="19" width="9.5546875" customWidth="1"/>
    <col min="20" max="20" width="11" style="5" customWidth="1"/>
    <col min="21" max="21" width="36.88671875" customWidth="1"/>
    <col min="32" max="32" width="16.88671875" customWidth="1"/>
  </cols>
  <sheetData>
    <row r="3" spans="1:33" x14ac:dyDescent="0.3">
      <c r="A3" t="s">
        <v>1</v>
      </c>
      <c r="D3" t="s">
        <v>6</v>
      </c>
      <c r="K3" t="s">
        <v>7</v>
      </c>
      <c r="O3" t="s">
        <v>8</v>
      </c>
      <c r="Z3" s="14" t="s">
        <v>29</v>
      </c>
      <c r="AC3" s="15" t="s">
        <v>32</v>
      </c>
      <c r="AF3" t="s">
        <v>33</v>
      </c>
    </row>
    <row r="4" spans="1:33" x14ac:dyDescent="0.3">
      <c r="A4" t="s">
        <v>0</v>
      </c>
      <c r="D4" s="3" t="s">
        <v>4</v>
      </c>
      <c r="E4" t="s">
        <v>0</v>
      </c>
      <c r="K4" s="3" t="s">
        <v>4</v>
      </c>
      <c r="L4" s="1" t="s">
        <v>2</v>
      </c>
      <c r="O4" s="3" t="s">
        <v>4</v>
      </c>
      <c r="P4" s="1" t="s">
        <v>3</v>
      </c>
      <c r="S4" s="3" t="s">
        <v>4</v>
      </c>
      <c r="T4" t="s">
        <v>9</v>
      </c>
      <c r="U4" t="s">
        <v>12</v>
      </c>
      <c r="W4" s="3" t="s">
        <v>4</v>
      </c>
      <c r="X4" s="5" t="s">
        <v>25</v>
      </c>
      <c r="Z4" s="3" t="s">
        <v>4</v>
      </c>
      <c r="AA4" s="5" t="s">
        <v>28</v>
      </c>
      <c r="AC4" s="3" t="s">
        <v>4</v>
      </c>
      <c r="AD4" s="5" t="s">
        <v>28</v>
      </c>
      <c r="AF4" s="3" t="s">
        <v>4</v>
      </c>
      <c r="AG4" s="5" t="s">
        <v>28</v>
      </c>
    </row>
    <row r="5" spans="1:33" x14ac:dyDescent="0.3">
      <c r="A5">
        <v>952</v>
      </c>
      <c r="D5" s="4" t="s">
        <v>42</v>
      </c>
      <c r="E5">
        <v>32</v>
      </c>
      <c r="K5" s="4" t="s">
        <v>42</v>
      </c>
      <c r="L5" s="1">
        <v>37.53125</v>
      </c>
      <c r="O5" s="4" t="s">
        <v>42</v>
      </c>
      <c r="P5" s="1">
        <v>3.7</v>
      </c>
      <c r="S5" s="4" t="s">
        <v>10</v>
      </c>
      <c r="T5" s="5">
        <v>502</v>
      </c>
      <c r="U5" s="6">
        <v>0.52731092436974791</v>
      </c>
      <c r="W5" s="4" t="s">
        <v>17</v>
      </c>
      <c r="X5" s="5">
        <v>123</v>
      </c>
      <c r="Z5" s="4" t="s">
        <v>26</v>
      </c>
      <c r="AA5" s="5">
        <v>555</v>
      </c>
      <c r="AC5" s="4" t="s">
        <v>30</v>
      </c>
      <c r="AD5" s="5">
        <v>460</v>
      </c>
      <c r="AF5" s="4" t="s">
        <v>41</v>
      </c>
      <c r="AG5" s="5">
        <v>7</v>
      </c>
    </row>
    <row r="6" spans="1:33" x14ac:dyDescent="0.3">
      <c r="D6" s="4" t="s">
        <v>43</v>
      </c>
      <c r="E6">
        <v>28</v>
      </c>
      <c r="K6" s="4" t="s">
        <v>43</v>
      </c>
      <c r="L6" s="1">
        <v>31.357142857142858</v>
      </c>
      <c r="O6" s="4" t="s">
        <v>43</v>
      </c>
      <c r="P6" s="1">
        <v>5.8</v>
      </c>
      <c r="S6" s="4" t="s">
        <v>11</v>
      </c>
      <c r="T6" s="5">
        <v>450</v>
      </c>
      <c r="U6" s="6">
        <v>0.47268907563025209</v>
      </c>
      <c r="W6" s="4" t="s">
        <v>18</v>
      </c>
      <c r="X6" s="5">
        <v>126</v>
      </c>
      <c r="Z6" s="4" t="s">
        <v>27</v>
      </c>
      <c r="AA6" s="5">
        <v>397</v>
      </c>
      <c r="AC6" s="4" t="s">
        <v>31</v>
      </c>
      <c r="AD6" s="5">
        <v>492</v>
      </c>
      <c r="AF6" s="4" t="s">
        <v>37</v>
      </c>
      <c r="AG6" s="5">
        <v>16</v>
      </c>
    </row>
    <row r="7" spans="1:33" x14ac:dyDescent="0.3">
      <c r="D7" s="4" t="s">
        <v>44</v>
      </c>
      <c r="E7">
        <v>28</v>
      </c>
      <c r="K7" s="4" t="s">
        <v>44</v>
      </c>
      <c r="L7" s="1">
        <v>35.285714285714285</v>
      </c>
      <c r="O7" s="4" t="s">
        <v>44</v>
      </c>
      <c r="P7" s="1">
        <v>4</v>
      </c>
      <c r="S7" s="4" t="s">
        <v>5</v>
      </c>
      <c r="T7" s="5">
        <v>952</v>
      </c>
      <c r="U7" s="6">
        <v>1</v>
      </c>
      <c r="W7" s="4" t="s">
        <v>19</v>
      </c>
      <c r="X7" s="5">
        <v>120</v>
      </c>
      <c r="Z7" s="4" t="s">
        <v>5</v>
      </c>
      <c r="AA7" s="5">
        <v>952</v>
      </c>
      <c r="AC7" s="4" t="s">
        <v>5</v>
      </c>
      <c r="AD7" s="5">
        <v>952</v>
      </c>
      <c r="AF7" s="4" t="s">
        <v>35</v>
      </c>
      <c r="AG7" s="5">
        <v>19</v>
      </c>
    </row>
    <row r="8" spans="1:33" x14ac:dyDescent="0.3">
      <c r="A8" t="s">
        <v>2</v>
      </c>
      <c r="D8" s="4" t="s">
        <v>45</v>
      </c>
      <c r="E8">
        <v>25</v>
      </c>
      <c r="K8" s="4" t="s">
        <v>45</v>
      </c>
      <c r="L8" s="1">
        <v>34</v>
      </c>
      <c r="O8" s="4" t="s">
        <v>45</v>
      </c>
      <c r="P8" s="1">
        <v>2</v>
      </c>
      <c r="W8" s="4" t="s">
        <v>20</v>
      </c>
      <c r="X8" s="5">
        <v>103</v>
      </c>
      <c r="AF8" s="4" t="s">
        <v>34</v>
      </c>
      <c r="AG8" s="5">
        <v>23</v>
      </c>
    </row>
    <row r="9" spans="1:33" x14ac:dyDescent="0.3">
      <c r="A9" s="1">
        <v>34.965336134453779</v>
      </c>
      <c r="D9" s="4" t="s">
        <v>46</v>
      </c>
      <c r="E9">
        <v>23</v>
      </c>
      <c r="K9" s="4" t="s">
        <v>46</v>
      </c>
      <c r="L9" s="1">
        <v>28.391304347826086</v>
      </c>
      <c r="O9" s="4" t="s">
        <v>46</v>
      </c>
      <c r="P9" s="1">
        <v>6</v>
      </c>
      <c r="W9" s="4" t="s">
        <v>21</v>
      </c>
      <c r="X9" s="5">
        <v>135</v>
      </c>
      <c r="AF9" s="4" t="s">
        <v>40</v>
      </c>
      <c r="AG9" s="5">
        <v>23</v>
      </c>
    </row>
    <row r="10" spans="1:33" x14ac:dyDescent="0.3">
      <c r="D10" s="4" t="s">
        <v>47</v>
      </c>
      <c r="E10">
        <v>22</v>
      </c>
      <c r="K10" s="4" t="s">
        <v>47</v>
      </c>
      <c r="L10" s="1">
        <v>36.545454545454547</v>
      </c>
      <c r="O10" s="4" t="s">
        <v>47</v>
      </c>
      <c r="P10" s="1">
        <v>5</v>
      </c>
      <c r="W10" s="4" t="s">
        <v>22</v>
      </c>
      <c r="X10" s="5">
        <v>134</v>
      </c>
      <c r="AF10" s="4" t="s">
        <v>39</v>
      </c>
      <c r="AG10" s="5">
        <v>114</v>
      </c>
    </row>
    <row r="11" spans="1:33" x14ac:dyDescent="0.3">
      <c r="D11" s="4" t="s">
        <v>48</v>
      </c>
      <c r="E11">
        <v>33</v>
      </c>
      <c r="K11" s="4" t="s">
        <v>48</v>
      </c>
      <c r="L11" s="1">
        <v>33.939393939393938</v>
      </c>
      <c r="O11" s="4" t="s">
        <v>48</v>
      </c>
      <c r="P11" s="1">
        <v>5.1111111111111107</v>
      </c>
      <c r="R11" s="7" t="s">
        <v>13</v>
      </c>
      <c r="S11" s="12" t="s">
        <v>14</v>
      </c>
      <c r="T11" s="13" t="s">
        <v>15</v>
      </c>
      <c r="U11" s="12" t="s">
        <v>16</v>
      </c>
      <c r="W11" s="4" t="s">
        <v>23</v>
      </c>
      <c r="X11" s="5">
        <v>96</v>
      </c>
      <c r="AF11" s="4" t="s">
        <v>36</v>
      </c>
      <c r="AG11" s="5">
        <v>180</v>
      </c>
    </row>
    <row r="12" spans="1:33" x14ac:dyDescent="0.3">
      <c r="A12" t="s">
        <v>3</v>
      </c>
      <c r="D12" s="4" t="s">
        <v>49</v>
      </c>
      <c r="E12">
        <v>31</v>
      </c>
      <c r="K12" s="4" t="s">
        <v>49</v>
      </c>
      <c r="L12" s="1">
        <v>38.516129032258064</v>
      </c>
      <c r="O12" s="4" t="s">
        <v>49</v>
      </c>
      <c r="P12" s="1">
        <v>3.8571428571428572</v>
      </c>
      <c r="R12" s="9" t="str">
        <f>S6</f>
        <v>Not Admitted</v>
      </c>
      <c r="S12" s="10">
        <f t="shared" ref="S12:T12" si="0">T6</f>
        <v>450</v>
      </c>
      <c r="T12" s="11">
        <f t="shared" si="0"/>
        <v>0.47268907563025209</v>
      </c>
      <c r="U12" s="8"/>
      <c r="W12" s="4" t="s">
        <v>24</v>
      </c>
      <c r="X12" s="5">
        <v>115</v>
      </c>
      <c r="AF12" s="4" t="s">
        <v>38</v>
      </c>
      <c r="AG12" s="5">
        <v>570</v>
      </c>
    </row>
    <row r="13" spans="1:33" x14ac:dyDescent="0.3">
      <c r="A13" s="1">
        <v>4.8773946360153255</v>
      </c>
      <c r="D13" s="4" t="s">
        <v>50</v>
      </c>
      <c r="E13">
        <v>35</v>
      </c>
      <c r="K13" s="4" t="s">
        <v>50</v>
      </c>
      <c r="L13" s="1">
        <v>34.74285714285714</v>
      </c>
      <c r="O13" s="4" t="s">
        <v>50</v>
      </c>
      <c r="P13" s="1">
        <v>6.5714285714285712</v>
      </c>
      <c r="R13" s="9" t="str">
        <f>S5</f>
        <v>Admitted</v>
      </c>
      <c r="S13" s="10">
        <f t="shared" ref="S13:T13" si="1">T5</f>
        <v>502</v>
      </c>
      <c r="T13" s="11">
        <f t="shared" si="1"/>
        <v>0.52731092436974791</v>
      </c>
      <c r="U13" s="8"/>
      <c r="W13" s="4" t="s">
        <v>5</v>
      </c>
      <c r="X13" s="5">
        <v>952</v>
      </c>
      <c r="AF13" s="4" t="s">
        <v>5</v>
      </c>
      <c r="AG13" s="5">
        <v>952</v>
      </c>
    </row>
    <row r="14" spans="1:33" x14ac:dyDescent="0.3">
      <c r="D14" s="4" t="s">
        <v>51</v>
      </c>
      <c r="E14">
        <v>30</v>
      </c>
      <c r="K14" s="4" t="s">
        <v>51</v>
      </c>
      <c r="L14" s="1">
        <v>34.5</v>
      </c>
      <c r="O14" s="4" t="s">
        <v>51</v>
      </c>
      <c r="P14" s="1">
        <v>5.2857142857142856</v>
      </c>
    </row>
    <row r="15" spans="1:33" x14ac:dyDescent="0.3">
      <c r="D15" s="4" t="s">
        <v>52</v>
      </c>
      <c r="E15">
        <v>32</v>
      </c>
      <c r="K15" s="4" t="s">
        <v>52</v>
      </c>
      <c r="L15" s="1">
        <v>31.65625</v>
      </c>
      <c r="O15" s="4" t="s">
        <v>52</v>
      </c>
      <c r="P15" s="1">
        <v>5.5</v>
      </c>
    </row>
    <row r="16" spans="1:33" x14ac:dyDescent="0.3">
      <c r="D16" s="4" t="s">
        <v>53</v>
      </c>
      <c r="E16">
        <v>39</v>
      </c>
      <c r="K16" s="4" t="s">
        <v>53</v>
      </c>
      <c r="L16" s="1">
        <v>37.384615384615387</v>
      </c>
      <c r="O16" s="4" t="s">
        <v>53</v>
      </c>
      <c r="P16" s="1">
        <v>4.8181818181818183</v>
      </c>
    </row>
    <row r="17" spans="4:16" x14ac:dyDescent="0.3">
      <c r="D17" s="4" t="s">
        <v>54</v>
      </c>
      <c r="E17">
        <v>39</v>
      </c>
      <c r="K17" s="4" t="s">
        <v>54</v>
      </c>
      <c r="L17" s="1">
        <v>36.205128205128204</v>
      </c>
      <c r="O17" s="4" t="s">
        <v>54</v>
      </c>
      <c r="P17" s="1">
        <v>5</v>
      </c>
    </row>
    <row r="18" spans="4:16" x14ac:dyDescent="0.3">
      <c r="D18" s="4" t="s">
        <v>55</v>
      </c>
      <c r="E18">
        <v>30</v>
      </c>
      <c r="K18" s="4" t="s">
        <v>55</v>
      </c>
      <c r="L18" s="1">
        <v>35.6</v>
      </c>
      <c r="O18" s="4" t="s">
        <v>55</v>
      </c>
      <c r="P18" s="1">
        <v>3.2222222222222223</v>
      </c>
    </row>
    <row r="19" spans="4:16" x14ac:dyDescent="0.3">
      <c r="D19" s="4" t="s">
        <v>56</v>
      </c>
      <c r="E19">
        <v>29</v>
      </c>
      <c r="K19" s="4" t="s">
        <v>56</v>
      </c>
      <c r="L19" s="1">
        <v>31.068965517241381</v>
      </c>
      <c r="O19" s="4" t="s">
        <v>56</v>
      </c>
      <c r="P19" s="1">
        <v>6.333333333333333</v>
      </c>
    </row>
    <row r="20" spans="4:16" x14ac:dyDescent="0.3">
      <c r="D20" s="4" t="s">
        <v>57</v>
      </c>
      <c r="E20">
        <v>34</v>
      </c>
      <c r="K20" s="4" t="s">
        <v>57</v>
      </c>
      <c r="L20" s="1">
        <v>33</v>
      </c>
      <c r="O20" s="4" t="s">
        <v>57</v>
      </c>
      <c r="P20" s="1">
        <v>3.8</v>
      </c>
    </row>
    <row r="21" spans="4:16" x14ac:dyDescent="0.3">
      <c r="D21" s="4" t="s">
        <v>58</v>
      </c>
      <c r="E21">
        <v>30</v>
      </c>
      <c r="K21" s="4" t="s">
        <v>58</v>
      </c>
      <c r="L21" s="1">
        <v>36.233333333333334</v>
      </c>
      <c r="O21" s="4" t="s">
        <v>58</v>
      </c>
      <c r="P21" s="1">
        <v>3.1111111111111112</v>
      </c>
    </row>
    <row r="22" spans="4:16" x14ac:dyDescent="0.3">
      <c r="D22" s="4" t="s">
        <v>59</v>
      </c>
      <c r="E22">
        <v>28</v>
      </c>
      <c r="K22" s="4" t="s">
        <v>59</v>
      </c>
      <c r="L22" s="1">
        <v>37.142857142857146</v>
      </c>
      <c r="O22" s="4" t="s">
        <v>59</v>
      </c>
      <c r="P22" s="1">
        <v>2.8333333333333335</v>
      </c>
    </row>
    <row r="23" spans="4:16" x14ac:dyDescent="0.3">
      <c r="D23" s="4" t="s">
        <v>60</v>
      </c>
      <c r="E23">
        <v>33</v>
      </c>
      <c r="K23" s="4" t="s">
        <v>60</v>
      </c>
      <c r="L23" s="1">
        <v>34.666666666666664</v>
      </c>
      <c r="O23" s="4" t="s">
        <v>60</v>
      </c>
      <c r="P23" s="1">
        <v>6.625</v>
      </c>
    </row>
    <row r="24" spans="4:16" x14ac:dyDescent="0.3">
      <c r="D24" s="4" t="s">
        <v>61</v>
      </c>
      <c r="E24">
        <v>30</v>
      </c>
      <c r="K24" s="4" t="s">
        <v>61</v>
      </c>
      <c r="L24" s="1">
        <v>36.033333333333331</v>
      </c>
      <c r="O24" s="4" t="s">
        <v>61</v>
      </c>
      <c r="P24" s="1">
        <v>3.5</v>
      </c>
    </row>
    <row r="25" spans="4:16" x14ac:dyDescent="0.3">
      <c r="D25" s="4" t="s">
        <v>62</v>
      </c>
      <c r="E25">
        <v>31</v>
      </c>
      <c r="K25" s="4" t="s">
        <v>62</v>
      </c>
      <c r="L25" s="1">
        <v>33.838709677419352</v>
      </c>
      <c r="O25" s="4" t="s">
        <v>62</v>
      </c>
      <c r="P25" s="1">
        <v>5.166666666666667</v>
      </c>
    </row>
    <row r="26" spans="4:16" x14ac:dyDescent="0.3">
      <c r="D26" s="4" t="s">
        <v>63</v>
      </c>
      <c r="E26">
        <v>27</v>
      </c>
      <c r="K26" s="4" t="s">
        <v>63</v>
      </c>
      <c r="L26" s="1">
        <v>34.592592592592595</v>
      </c>
      <c r="O26" s="4" t="s">
        <v>63</v>
      </c>
      <c r="P26" s="1">
        <v>5.333333333333333</v>
      </c>
    </row>
    <row r="27" spans="4:16" x14ac:dyDescent="0.3">
      <c r="D27" s="4" t="s">
        <v>64</v>
      </c>
      <c r="E27">
        <v>32</v>
      </c>
      <c r="K27" s="4" t="s">
        <v>64</v>
      </c>
      <c r="L27" s="1">
        <v>34.4375</v>
      </c>
      <c r="O27" s="4" t="s">
        <v>64</v>
      </c>
      <c r="P27" s="1">
        <v>4.875</v>
      </c>
    </row>
    <row r="28" spans="4:16" x14ac:dyDescent="0.3">
      <c r="D28" s="4" t="s">
        <v>65</v>
      </c>
      <c r="E28">
        <v>29</v>
      </c>
      <c r="K28" s="4" t="s">
        <v>65</v>
      </c>
      <c r="L28" s="1">
        <v>36.172413793103445</v>
      </c>
      <c r="O28" s="4" t="s">
        <v>65</v>
      </c>
      <c r="P28" s="1">
        <v>4.5</v>
      </c>
    </row>
    <row r="29" spans="4:16" x14ac:dyDescent="0.3">
      <c r="D29" s="4" t="s">
        <v>66</v>
      </c>
      <c r="E29">
        <v>29</v>
      </c>
      <c r="K29" s="4" t="s">
        <v>66</v>
      </c>
      <c r="L29" s="1">
        <v>34.758620689655174</v>
      </c>
      <c r="O29" s="4" t="s">
        <v>66</v>
      </c>
      <c r="P29" s="1">
        <v>4.625</v>
      </c>
    </row>
    <row r="30" spans="4:16" x14ac:dyDescent="0.3">
      <c r="D30" s="4" t="s">
        <v>67</v>
      </c>
      <c r="E30">
        <v>29</v>
      </c>
      <c r="K30" s="4" t="s">
        <v>67</v>
      </c>
      <c r="L30" s="1">
        <v>37.241379310344826</v>
      </c>
      <c r="O30" s="4" t="s">
        <v>67</v>
      </c>
      <c r="P30" s="1">
        <v>5</v>
      </c>
    </row>
    <row r="31" spans="4:16" x14ac:dyDescent="0.3">
      <c r="D31" s="4" t="s">
        <v>68</v>
      </c>
      <c r="E31">
        <v>30</v>
      </c>
      <c r="K31" s="4" t="s">
        <v>68</v>
      </c>
      <c r="L31" s="1">
        <v>33.9</v>
      </c>
      <c r="O31" s="4" t="s">
        <v>68</v>
      </c>
      <c r="P31" s="1">
        <v>6.8181818181818183</v>
      </c>
    </row>
    <row r="32" spans="4:16" x14ac:dyDescent="0.3">
      <c r="D32" s="4" t="s">
        <v>69</v>
      </c>
      <c r="E32">
        <v>32</v>
      </c>
      <c r="K32" s="4" t="s">
        <v>69</v>
      </c>
      <c r="L32" s="1">
        <v>35.4375</v>
      </c>
      <c r="O32" s="4" t="s">
        <v>69</v>
      </c>
      <c r="P32" s="1">
        <v>6.375</v>
      </c>
    </row>
    <row r="33" spans="4:16" x14ac:dyDescent="0.3">
      <c r="D33" s="4" t="s">
        <v>70</v>
      </c>
      <c r="E33">
        <v>39</v>
      </c>
      <c r="K33" s="4" t="s">
        <v>70</v>
      </c>
      <c r="L33" s="1">
        <v>36.820512820512818</v>
      </c>
      <c r="O33" s="4" t="s">
        <v>70</v>
      </c>
      <c r="P33" s="1">
        <v>4.615384615384615</v>
      </c>
    </row>
    <row r="34" spans="4:16" x14ac:dyDescent="0.3">
      <c r="D34" s="4" t="s">
        <v>71</v>
      </c>
      <c r="E34">
        <v>32</v>
      </c>
      <c r="K34" s="4" t="s">
        <v>71</v>
      </c>
      <c r="L34" s="1">
        <v>31.3125</v>
      </c>
      <c r="O34" s="4" t="s">
        <v>71</v>
      </c>
      <c r="P34" s="1">
        <v>5.5454545454545459</v>
      </c>
    </row>
    <row r="35" spans="4:16" x14ac:dyDescent="0.3">
      <c r="D35" s="4" t="s">
        <v>72</v>
      </c>
      <c r="E35">
        <v>31</v>
      </c>
      <c r="K35" s="4" t="s">
        <v>72</v>
      </c>
      <c r="L35" s="1">
        <v>39.064516129032256</v>
      </c>
      <c r="O35" s="4" t="s">
        <v>72</v>
      </c>
      <c r="P35" s="1">
        <v>6.9090909090909092</v>
      </c>
    </row>
    <row r="36" spans="4:16" x14ac:dyDescent="0.3">
      <c r="D36" s="4" t="s">
        <v>5</v>
      </c>
      <c r="E36">
        <v>952</v>
      </c>
      <c r="K36" s="4" t="s">
        <v>5</v>
      </c>
      <c r="L36" s="1">
        <v>34.965336134453779</v>
      </c>
      <c r="O36" s="4" t="s">
        <v>5</v>
      </c>
      <c r="P36" s="1">
        <v>4.8773946360153255</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5136-A695-4226-9A66-43B1557CEFA2}">
  <dimension ref="A1:L20"/>
  <sheetViews>
    <sheetView tabSelected="1" zoomScale="170" zoomScaleNormal="170" workbookViewId="0">
      <selection activeCell="N5" sqref="N5"/>
    </sheetView>
  </sheetViews>
  <sheetFormatPr defaultRowHeight="14.4" x14ac:dyDescent="0.3"/>
  <cols>
    <col min="1" max="16384" width="8.88671875" style="9"/>
  </cols>
  <sheetData>
    <row r="1" spans="1:12" ht="5.4" customHeight="1" x14ac:dyDescent="0.3">
      <c r="A1" s="2"/>
      <c r="B1" s="2"/>
      <c r="C1" s="2"/>
      <c r="D1" s="2"/>
      <c r="E1" s="2"/>
      <c r="F1" s="2"/>
      <c r="G1" s="2"/>
      <c r="H1" s="2"/>
      <c r="I1" s="2"/>
      <c r="J1" s="2"/>
      <c r="K1" s="2"/>
      <c r="L1" s="2"/>
    </row>
    <row r="2" spans="1:12" x14ac:dyDescent="0.3">
      <c r="A2" s="2"/>
      <c r="B2" s="2"/>
      <c r="C2" s="2"/>
      <c r="D2" s="2"/>
      <c r="E2" s="2"/>
      <c r="F2" s="2"/>
      <c r="G2" s="2"/>
      <c r="H2" s="2"/>
      <c r="I2" s="2"/>
      <c r="J2" s="2"/>
      <c r="K2" s="2"/>
      <c r="L2" s="2"/>
    </row>
    <row r="3" spans="1:12" x14ac:dyDescent="0.3">
      <c r="A3" s="2"/>
      <c r="B3" s="2"/>
      <c r="C3" s="2"/>
      <c r="D3" s="2"/>
      <c r="E3" s="2"/>
      <c r="F3" s="2"/>
      <c r="G3" s="2"/>
      <c r="H3" s="2"/>
      <c r="I3" s="2"/>
      <c r="J3" s="2"/>
      <c r="K3" s="2"/>
      <c r="L3" s="2"/>
    </row>
    <row r="4" spans="1:12" x14ac:dyDescent="0.3">
      <c r="A4" s="2"/>
      <c r="B4" s="2"/>
      <c r="C4" s="2"/>
      <c r="D4" s="2"/>
      <c r="E4" s="2"/>
      <c r="F4" s="2"/>
      <c r="G4" s="2"/>
      <c r="H4" s="2"/>
      <c r="I4" s="2"/>
      <c r="J4" s="2"/>
      <c r="K4" s="2"/>
      <c r="L4" s="2"/>
    </row>
    <row r="5" spans="1:12" x14ac:dyDescent="0.3">
      <c r="A5" s="2"/>
      <c r="B5" s="2"/>
      <c r="C5" s="2"/>
      <c r="D5" s="2"/>
      <c r="E5" s="2"/>
      <c r="F5" s="2"/>
      <c r="G5" s="2"/>
      <c r="H5" s="2"/>
      <c r="I5" s="2"/>
      <c r="J5" s="2"/>
      <c r="K5" s="2"/>
      <c r="L5" s="2"/>
    </row>
    <row r="6" spans="1:12" x14ac:dyDescent="0.3">
      <c r="A6" s="2"/>
      <c r="B6" s="2"/>
      <c r="C6" s="2"/>
      <c r="D6" s="2"/>
      <c r="E6" s="2"/>
      <c r="F6" s="2"/>
      <c r="G6" s="2"/>
      <c r="H6" s="2"/>
      <c r="I6" s="2"/>
      <c r="J6" s="2"/>
      <c r="K6" s="2"/>
      <c r="L6" s="2"/>
    </row>
    <row r="7" spans="1:12" x14ac:dyDescent="0.3">
      <c r="A7" s="2"/>
      <c r="B7" s="2"/>
      <c r="C7" s="2"/>
      <c r="D7" s="2"/>
      <c r="E7" s="2"/>
      <c r="F7" s="2"/>
      <c r="G7" s="2"/>
      <c r="H7" s="2"/>
      <c r="I7" s="2"/>
      <c r="J7" s="2"/>
      <c r="K7" s="2"/>
      <c r="L7" s="2"/>
    </row>
    <row r="8" spans="1:12" x14ac:dyDescent="0.3">
      <c r="A8" s="2"/>
      <c r="B8" s="2"/>
      <c r="C8" s="2"/>
      <c r="D8" s="2"/>
      <c r="E8" s="2"/>
      <c r="F8" s="2"/>
      <c r="G8" s="2"/>
      <c r="H8" s="2"/>
      <c r="I8" s="2"/>
      <c r="J8" s="2"/>
      <c r="K8" s="2"/>
      <c r="L8" s="2"/>
    </row>
    <row r="9" spans="1:12" x14ac:dyDescent="0.3">
      <c r="A9" s="2"/>
      <c r="B9" s="2"/>
      <c r="C9" s="2"/>
      <c r="D9" s="2"/>
      <c r="E9" s="2"/>
      <c r="F9" s="2"/>
      <c r="G9" s="2"/>
      <c r="H9" s="2"/>
      <c r="I9" s="2"/>
      <c r="J9" s="2"/>
      <c r="K9" s="2"/>
      <c r="L9" s="2"/>
    </row>
    <row r="10" spans="1:12" x14ac:dyDescent="0.3">
      <c r="A10" s="2"/>
      <c r="B10" s="2"/>
      <c r="C10" s="2"/>
      <c r="D10" s="2"/>
      <c r="E10" s="2"/>
      <c r="F10" s="2"/>
      <c r="G10" s="2"/>
      <c r="H10" s="2"/>
      <c r="I10" s="2"/>
      <c r="J10" s="2"/>
      <c r="K10" s="2"/>
      <c r="L10" s="2"/>
    </row>
    <row r="11" spans="1:12" x14ac:dyDescent="0.3">
      <c r="A11" s="2"/>
      <c r="B11" s="2"/>
      <c r="C11" s="2"/>
      <c r="D11" s="2"/>
      <c r="E11" s="2"/>
      <c r="F11" s="2"/>
      <c r="G11" s="2"/>
      <c r="H11" s="2"/>
      <c r="I11" s="2"/>
      <c r="J11" s="2"/>
      <c r="K11" s="2"/>
      <c r="L11" s="2"/>
    </row>
    <row r="12" spans="1:12" x14ac:dyDescent="0.3">
      <c r="A12" s="2"/>
      <c r="B12" s="2"/>
      <c r="C12" s="2"/>
      <c r="D12" s="2"/>
      <c r="E12" s="2"/>
      <c r="F12" s="2"/>
      <c r="G12" s="2"/>
      <c r="H12" s="2"/>
      <c r="I12" s="2"/>
      <c r="J12" s="2"/>
      <c r="K12" s="2"/>
      <c r="L12" s="2"/>
    </row>
    <row r="13" spans="1:12" x14ac:dyDescent="0.3">
      <c r="A13" s="2"/>
      <c r="B13" s="2"/>
      <c r="C13" s="2"/>
      <c r="D13" s="2"/>
      <c r="E13" s="2"/>
      <c r="F13" s="2"/>
      <c r="G13" s="2"/>
      <c r="H13" s="2"/>
      <c r="I13" s="2"/>
      <c r="J13" s="2"/>
      <c r="K13" s="2"/>
      <c r="L13" s="2"/>
    </row>
    <row r="14" spans="1:12" x14ac:dyDescent="0.3">
      <c r="A14" s="2"/>
      <c r="B14" s="2"/>
      <c r="C14" s="2"/>
      <c r="D14" s="2"/>
      <c r="E14" s="2"/>
      <c r="F14" s="2"/>
      <c r="G14" s="2"/>
      <c r="H14" s="2"/>
      <c r="I14" s="2"/>
      <c r="J14" s="2"/>
      <c r="K14" s="2"/>
      <c r="L14" s="2"/>
    </row>
    <row r="15" spans="1:12" x14ac:dyDescent="0.3">
      <c r="A15" s="2"/>
      <c r="B15" s="2"/>
      <c r="C15" s="2"/>
      <c r="D15" s="2"/>
      <c r="E15" s="2"/>
      <c r="F15" s="2"/>
      <c r="G15" s="2"/>
      <c r="H15" s="2"/>
      <c r="I15" s="2"/>
      <c r="J15" s="2"/>
      <c r="K15" s="2"/>
      <c r="L15" s="2"/>
    </row>
    <row r="16" spans="1:12" x14ac:dyDescent="0.3">
      <c r="A16" s="2"/>
      <c r="B16" s="2"/>
      <c r="C16" s="2"/>
      <c r="D16" s="2"/>
      <c r="E16" s="2"/>
      <c r="F16" s="2"/>
      <c r="G16" s="2"/>
      <c r="H16" s="2"/>
      <c r="I16" s="2"/>
      <c r="J16" s="2"/>
      <c r="K16" s="2"/>
      <c r="L16" s="2"/>
    </row>
    <row r="17" spans="1:12" x14ac:dyDescent="0.3">
      <c r="A17" s="2"/>
      <c r="B17" s="2"/>
      <c r="C17" s="2"/>
      <c r="D17" s="2"/>
      <c r="E17" s="2"/>
      <c r="F17" s="2"/>
      <c r="G17" s="2"/>
      <c r="H17" s="2"/>
      <c r="I17" s="2"/>
      <c r="J17" s="2"/>
      <c r="K17" s="2"/>
      <c r="L17" s="2"/>
    </row>
    <row r="18" spans="1:12" x14ac:dyDescent="0.3">
      <c r="A18" s="2"/>
      <c r="B18" s="2"/>
      <c r="C18" s="2"/>
      <c r="D18" s="2"/>
      <c r="E18" s="2"/>
      <c r="F18" s="2"/>
      <c r="G18" s="2"/>
      <c r="H18" s="2"/>
      <c r="I18" s="2"/>
      <c r="J18" s="2"/>
      <c r="K18" s="2"/>
      <c r="L18" s="2"/>
    </row>
    <row r="19" spans="1:12" x14ac:dyDescent="0.3">
      <c r="A19" s="2"/>
      <c r="B19" s="2"/>
      <c r="C19" s="2"/>
      <c r="D19" s="2"/>
      <c r="E19" s="2"/>
      <c r="F19" s="2"/>
      <c r="G19" s="2"/>
      <c r="H19" s="2"/>
      <c r="I19" s="2"/>
      <c r="J19" s="2"/>
      <c r="K19" s="2"/>
      <c r="L19" s="2"/>
    </row>
    <row r="20" spans="1:12" x14ac:dyDescent="0.3">
      <c r="A20" s="2"/>
      <c r="B20" s="2"/>
      <c r="C20" s="2"/>
      <c r="D20" s="2"/>
      <c r="E20" s="2"/>
      <c r="F20" s="2"/>
      <c r="G20" s="2"/>
      <c r="H20" s="2"/>
      <c r="I20" s="2"/>
      <c r="J20" s="2"/>
      <c r="K20" s="2"/>
      <c r="L20"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68F1D-A7B5-4D10-A2FF-B10A1E387D24}">
  <dimension ref="A1"/>
  <sheetViews>
    <sheetView workbookViewId="0"/>
  </sheetViews>
  <sheetFormatPr defaultRowHeight="14.4" x14ac:dyDescent="0.3"/>
  <cols>
    <col min="1" max="16384" width="8.88671875" style="2"/>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13EFF-4271-482D-AC63-F86EEB34F80A}">
  <dimension ref="A1"/>
  <sheetViews>
    <sheetView workbookViewId="0"/>
  </sheetViews>
  <sheetFormatPr defaultRowHeight="14.4" x14ac:dyDescent="0.3"/>
  <cols>
    <col min="1" max="16384" width="8.88671875" style="2"/>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1F32D-7EE2-4BBC-9422-3E1F15D06B93}">
  <dimension ref="A1"/>
  <sheetViews>
    <sheetView workbookViewId="0"/>
  </sheetViews>
  <sheetFormatPr defaultRowHeight="14.4" x14ac:dyDescent="0.3"/>
  <cols>
    <col min="1" max="16384" width="8.88671875" style="2"/>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B9B226C-0202-4796-B84F-37D0C04CB0F9}">
  <ds:schemaRefs/>
</ds:datastoreItem>
</file>

<file path=customXml/itemProps2.xml><?xml version="1.0" encoding="utf-8"?>
<ds:datastoreItem xmlns:ds="http://schemas.openxmlformats.org/officeDocument/2006/customXml" ds:itemID="{E5032372-0417-457A-AEFD-B5A1C7ED7B0E}">
  <ds:schemaRefs/>
</ds:datastoreItem>
</file>

<file path=customXml/itemProps3.xml><?xml version="1.0" encoding="utf-8"?>
<ds:datastoreItem xmlns:ds="http://schemas.openxmlformats.org/officeDocument/2006/customXml" ds:itemID="{00CDFCBE-196C-4F94-88D1-D4F65CCA15FF}">
  <ds:schemaRefs/>
</ds:datastoreItem>
</file>

<file path=customXml/itemProps4.xml><?xml version="1.0" encoding="utf-8"?>
<ds:datastoreItem xmlns:ds="http://schemas.openxmlformats.org/officeDocument/2006/customXml" ds:itemID="{C0DA0DED-68B5-4F96-9EC1-AA74219F0AB5}">
  <ds:schemaRefs/>
</ds:datastoreItem>
</file>

<file path=customXml/itemProps5.xml><?xml version="1.0" encoding="utf-8"?>
<ds:datastoreItem xmlns:ds="http://schemas.openxmlformats.org/officeDocument/2006/customXml" ds:itemID="{61C5A784-F2A3-4266-B9D5-C0BC93DA1810}">
  <ds:schemaRefs/>
</ds:datastoreItem>
</file>

<file path=customXml/itemProps6.xml><?xml version="1.0" encoding="utf-8"?>
<ds:datastoreItem xmlns:ds="http://schemas.openxmlformats.org/officeDocument/2006/customXml" ds:itemID="{0E094CEE-746A-4644-9D5E-BC71ED0C93A0}">
  <ds:schemaRefs/>
</ds:datastoreItem>
</file>

<file path=customXml/itemProps7.xml><?xml version="1.0" encoding="utf-8"?>
<ds:datastoreItem xmlns:ds="http://schemas.openxmlformats.org/officeDocument/2006/customXml" ds:itemID="{DD41A10F-2FB7-489C-8CCB-8270C83E9E71}">
  <ds:schemaRefs/>
</ds:datastoreItem>
</file>

<file path=customXml/itemProps8.xml><?xml version="1.0" encoding="utf-8"?>
<ds:datastoreItem xmlns:ds="http://schemas.openxmlformats.org/officeDocument/2006/customXml" ds:itemID="{E26708DF-D0F3-4A50-ACB7-5BDB1D02052F}">
  <ds:schemaRefs>
    <ds:schemaRef ds:uri="http://schemas.microsoft.com/DataMashup"/>
  </ds:schemaRefs>
</ds:datastoreItem>
</file>

<file path=customXml/itemProps9.xml><?xml version="1.0" encoding="utf-8"?>
<ds:datastoreItem xmlns:ds="http://schemas.openxmlformats.org/officeDocument/2006/customXml" ds:itemID="{23892C81-D27E-4E9A-B4CC-F7778D2BA21F}">
  <ds:schemaRefs/>
</ds:datastoreItem>
</file>

<file path=customXml/itemProps10.xml><?xml version="1.0" encoding="utf-8"?>
<ds:datastoreItem xmlns:ds="http://schemas.openxmlformats.org/officeDocument/2006/customXml" ds:itemID="{11B44C9B-DD69-4CB7-9660-6ABEB335EFBC}">
  <ds:schemaRefs/>
</ds:datastoreItem>
</file>

<file path=customXml/itemProps11.xml><?xml version="1.0" encoding="utf-8"?>
<ds:datastoreItem xmlns:ds="http://schemas.openxmlformats.org/officeDocument/2006/customXml" ds:itemID="{EC29349D-6DB9-49C5-A019-40E98E811860}">
  <ds:schemaRefs/>
</ds:datastoreItem>
</file>

<file path=customXml/itemProps12.xml><?xml version="1.0" encoding="utf-8"?>
<ds:datastoreItem xmlns:ds="http://schemas.openxmlformats.org/officeDocument/2006/customXml" ds:itemID="{D5DB156E-3D24-4AA8-8C7A-C0BCDBDA3514}">
  <ds:schemaRefs/>
</ds:datastoreItem>
</file>

<file path=customXml/itemProps13.xml><?xml version="1.0" encoding="utf-8"?>
<ds:datastoreItem xmlns:ds="http://schemas.openxmlformats.org/officeDocument/2006/customXml" ds:itemID="{4472F70F-1780-40EA-9285-B0A655C175BA}">
  <ds:schemaRefs/>
</ds:datastoreItem>
</file>

<file path=customXml/itemProps14.xml><?xml version="1.0" encoding="utf-8"?>
<ds:datastoreItem xmlns:ds="http://schemas.openxmlformats.org/officeDocument/2006/customXml" ds:itemID="{0AED3582-4510-4F47-9D5F-50528DAB5DAA}">
  <ds:schemaRefs/>
</ds:datastoreItem>
</file>

<file path=customXml/itemProps15.xml><?xml version="1.0" encoding="utf-8"?>
<ds:datastoreItem xmlns:ds="http://schemas.openxmlformats.org/officeDocument/2006/customXml" ds:itemID="{4B45A3BE-070A-45BB-884C-6E1FD1CF7A72}">
  <ds:schemaRefs/>
</ds:datastoreItem>
</file>

<file path=customXml/itemProps16.xml><?xml version="1.0" encoding="utf-8"?>
<ds:datastoreItem xmlns:ds="http://schemas.openxmlformats.org/officeDocument/2006/customXml" ds:itemID="{E2FF39D6-AFAC-42F4-AFC2-D90C7BFFD6EB}">
  <ds:schemaRefs/>
</ds:datastoreItem>
</file>

<file path=customXml/itemProps17.xml><?xml version="1.0" encoding="utf-8"?>
<ds:datastoreItem xmlns:ds="http://schemas.openxmlformats.org/officeDocument/2006/customXml" ds:itemID="{1409FE6C-81A2-41AE-9F3F-2553CA53831A}">
  <ds:schemaRefs/>
</ds:datastoreItem>
</file>

<file path=customXml/itemProps18.xml><?xml version="1.0" encoding="utf-8"?>
<ds:datastoreItem xmlns:ds="http://schemas.openxmlformats.org/officeDocument/2006/customXml" ds:itemID="{EA05ACBC-EC7A-47CF-8A00-FCAA8D8E5C9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 Daily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prathima kour</dc:creator>
  <cp:lastModifiedBy>prathima kour</cp:lastModifiedBy>
  <dcterms:created xsi:type="dcterms:W3CDTF">2026-03-12T14:51:22Z</dcterms:created>
  <dcterms:modified xsi:type="dcterms:W3CDTF">2026-04-16T07:39:25Z</dcterms:modified>
</cp:coreProperties>
</file>